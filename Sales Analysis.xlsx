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57445B9B-795D-434C-8D59-5005990EAB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Sheet1!$A$1:$L$101</definedName>
    <definedName name="_xlnm.Print_Area" localSheetId="0">Table1[[#Headers],[#Data]]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6" i="1" l="1"/>
  <c r="E105" i="1"/>
  <c r="D104" i="1"/>
  <c r="C103" i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</calcChain>
</file>

<file path=xl/sharedStrings.xml><?xml version="1.0" encoding="utf-8"?>
<sst xmlns="http://schemas.openxmlformats.org/spreadsheetml/2006/main" count="679" uniqueCount="94">
  <si>
    <t>OrderID</t>
  </si>
  <si>
    <t>Date</t>
  </si>
  <si>
    <t>Customer</t>
  </si>
  <si>
    <t>Product</t>
  </si>
  <si>
    <t>Category</t>
  </si>
  <si>
    <t>Quantity</t>
  </si>
  <si>
    <t>Unit Price</t>
  </si>
  <si>
    <t>Total</t>
  </si>
  <si>
    <t>Region</t>
  </si>
  <si>
    <t>2025-02-18</t>
  </si>
  <si>
    <t>2025-02-10</t>
  </si>
  <si>
    <t>2025-02-03</t>
  </si>
  <si>
    <t>2025-02-02</t>
  </si>
  <si>
    <t>2025-02-08</t>
  </si>
  <si>
    <t>2025-02-25</t>
  </si>
  <si>
    <t>2025-02-27</t>
  </si>
  <si>
    <t>2025-01-26</t>
  </si>
  <si>
    <t>2025-01-07</t>
  </si>
  <si>
    <t>2025-01-30</t>
  </si>
  <si>
    <t>2025-01-20</t>
  </si>
  <si>
    <t>2025-01-08</t>
  </si>
  <si>
    <t>2025-02-16</t>
  </si>
  <si>
    <t>2025-01-04</t>
  </si>
  <si>
    <t>2025-02-12</t>
  </si>
  <si>
    <t>2025-01-05</t>
  </si>
  <si>
    <t>2025-02-13</t>
  </si>
  <si>
    <t>2025-01-24</t>
  </si>
  <si>
    <t>2025-01-23</t>
  </si>
  <si>
    <t>2025-01-01</t>
  </si>
  <si>
    <t>2025-02-05</t>
  </si>
  <si>
    <t>2025-02-11</t>
  </si>
  <si>
    <t>2025-01-27</t>
  </si>
  <si>
    <t>2025-02-22</t>
  </si>
  <si>
    <t>2025-01-09</t>
  </si>
  <si>
    <t>2025-02-19</t>
  </si>
  <si>
    <t>2025-02-07</t>
  </si>
  <si>
    <t>2025-02-20</t>
  </si>
  <si>
    <t>2025-01-12</t>
  </si>
  <si>
    <t>2025-01-13</t>
  </si>
  <si>
    <t>2025-01-29</t>
  </si>
  <si>
    <t>2025-02-26</t>
  </si>
  <si>
    <t>2025-01-18</t>
  </si>
  <si>
    <t>2025-02-21</t>
  </si>
  <si>
    <t>2025-02-17</t>
  </si>
  <si>
    <t>2025-02-23</t>
  </si>
  <si>
    <t>2025-02-04</t>
  </si>
  <si>
    <t>2025-01-02</t>
  </si>
  <si>
    <t>2025-01-16</t>
  </si>
  <si>
    <t>2025-01-03</t>
  </si>
  <si>
    <t>2025-02-24</t>
  </si>
  <si>
    <t>2025-02-06</t>
  </si>
  <si>
    <t>2025-01-14</t>
  </si>
  <si>
    <t>2025-01-25</t>
  </si>
  <si>
    <t>2025-01-11</t>
  </si>
  <si>
    <t>2025-02-14</t>
  </si>
  <si>
    <t>2025-02-15</t>
  </si>
  <si>
    <t>2025-01-22</t>
  </si>
  <si>
    <t>2025-01-19</t>
  </si>
  <si>
    <t>2025-01-10</t>
  </si>
  <si>
    <t>Sarah Lee</t>
  </si>
  <si>
    <t>James Brown</t>
  </si>
  <si>
    <t>Grace Paul</t>
  </si>
  <si>
    <t>David Kim</t>
  </si>
  <si>
    <t>Mary Jones</t>
  </si>
  <si>
    <t>Linda White</t>
  </si>
  <si>
    <t>Ali Bello</t>
  </si>
  <si>
    <t>John Smith</t>
  </si>
  <si>
    <t>Headphones</t>
  </si>
  <si>
    <t>Tablet</t>
  </si>
  <si>
    <t>Monitor</t>
  </si>
  <si>
    <t>Charger</t>
  </si>
  <si>
    <t>Laptop</t>
  </si>
  <si>
    <t>Phone</t>
  </si>
  <si>
    <t>Phone Case</t>
  </si>
  <si>
    <t>Keyboard</t>
  </si>
  <si>
    <t>Accessories</t>
  </si>
  <si>
    <t>Electronics</t>
  </si>
  <si>
    <t>East</t>
  </si>
  <si>
    <t>North</t>
  </si>
  <si>
    <t>West</t>
  </si>
  <si>
    <t>South</t>
  </si>
  <si>
    <t>Date by  Year</t>
  </si>
  <si>
    <t>Today's date</t>
  </si>
  <si>
    <t>Age</t>
  </si>
  <si>
    <t>Sum of OrderID</t>
  </si>
  <si>
    <t>Row Labels</t>
  </si>
  <si>
    <t>Grand Total</t>
  </si>
  <si>
    <t>2025</t>
  </si>
  <si>
    <t>Sum of Quantity</t>
  </si>
  <si>
    <t>Customers Name</t>
  </si>
  <si>
    <t>Sum of Total</t>
  </si>
  <si>
    <t>Customer Name</t>
  </si>
  <si>
    <t>Count of Category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</si>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</sst>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14" fontId="2" fillId="0" borderId="0" xfId="0" applyNumberFormat="1" applyFont="1" applyAlignme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3" fillId="2" borderId="0" xfId="0" applyFont="1" applyFill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0"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border>
        <left/>
        <right/>
        <top style="thin">
          <color indexed="64"/>
        </top>
        <bottom/>
      </border>
    </dxf>
    <dxf>
      <border>
        <left/>
        <right/>
        <top/>
        <bottom style="thin">
          <color indexed="64"/>
        </bottom>
      </border>
    </dxf>
    <dxf>
      <font>
        <b/>
        <i val="0"/>
        <strike val="0"/>
        <u val="none"/>
        <sz val="11"/>
        <color rgb="FF000000"/>
      </font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Sheet1!$R$8:$R$16</c:f>
              <c:strCache>
                <c:ptCount val="8"/>
                <c:pt idx="0">
                  <c:v>Ali Bello</c:v>
                </c:pt>
                <c:pt idx="1">
                  <c:v>David Kim</c:v>
                </c:pt>
                <c:pt idx="2">
                  <c:v>Grace Paul</c:v>
                </c:pt>
                <c:pt idx="3">
                  <c:v>James Brown</c:v>
                </c:pt>
                <c:pt idx="4">
                  <c:v>John Smith</c:v>
                </c:pt>
                <c:pt idx="5">
                  <c:v>Linda White</c:v>
                </c:pt>
                <c:pt idx="6">
                  <c:v>Mary Jones</c:v>
                </c:pt>
                <c:pt idx="7">
                  <c:v>Sarah Lee</c:v>
                </c:pt>
              </c:strCache>
            </c:strRef>
          </c:cat>
          <c:val>
            <c:numRef>
              <c:f>Sheet1!$S$8:$S$16</c:f>
              <c:numCache>
                <c:formatCode>General</c:formatCode>
                <c:ptCount val="8"/>
                <c:pt idx="0">
                  <c:v>45</c:v>
                </c:pt>
                <c:pt idx="1">
                  <c:v>42</c:v>
                </c:pt>
                <c:pt idx="2">
                  <c:v>42</c:v>
                </c:pt>
                <c:pt idx="3">
                  <c:v>39</c:v>
                </c:pt>
                <c:pt idx="4">
                  <c:v>26</c:v>
                </c:pt>
                <c:pt idx="5">
                  <c:v>40</c:v>
                </c:pt>
                <c:pt idx="6">
                  <c:v>42</c:v>
                </c:pt>
                <c:pt idx="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C-4E38-B2C1-09C9C609E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132671"/>
        <c:axId val="560609215"/>
      </c:barChart>
      <c:catAx>
        <c:axId val="63613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09215"/>
        <c:crosses val="autoZero"/>
        <c:auto val="1"/>
        <c:lblAlgn val="ctr"/>
        <c:lblOffset val="100"/>
        <c:noMultiLvlLbl val="0"/>
      </c:catAx>
      <c:valAx>
        <c:axId val="56060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3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Sheet1!$AA$7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ED-4E60-9880-9CD318D379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ED-4E60-9880-9CD318D379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ED-4E60-9880-9CD318D379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ED-4E60-9880-9CD318D379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ED-4E60-9880-9CD318D379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CED-4E60-9880-9CD318D379F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CED-4E60-9880-9CD318D379F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CED-4E60-9880-9CD318D379F5}"/>
              </c:ext>
            </c:extLst>
          </c:dPt>
          <c:cat>
            <c:strRef>
              <c:f>Sheet1!$Z$8:$Z$16</c:f>
              <c:strCache>
                <c:ptCount val="8"/>
                <c:pt idx="0">
                  <c:v>Ali Bello</c:v>
                </c:pt>
                <c:pt idx="1">
                  <c:v>David Kim</c:v>
                </c:pt>
                <c:pt idx="2">
                  <c:v>Grace Paul</c:v>
                </c:pt>
                <c:pt idx="3">
                  <c:v>James Brown</c:v>
                </c:pt>
                <c:pt idx="4">
                  <c:v>John Smith</c:v>
                </c:pt>
                <c:pt idx="5">
                  <c:v>Linda White</c:v>
                </c:pt>
                <c:pt idx="6">
                  <c:v>Mary Jones</c:v>
                </c:pt>
                <c:pt idx="7">
                  <c:v>Sarah Lee</c:v>
                </c:pt>
              </c:strCache>
            </c:strRef>
          </c:cat>
          <c:val>
            <c:numRef>
              <c:f>Sheet1!$AA$8:$AA$16</c:f>
              <c:numCache>
                <c:formatCode>General</c:formatCode>
                <c:ptCount val="8"/>
                <c:pt idx="0">
                  <c:v>5964</c:v>
                </c:pt>
                <c:pt idx="1">
                  <c:v>5463</c:v>
                </c:pt>
                <c:pt idx="2">
                  <c:v>4341</c:v>
                </c:pt>
                <c:pt idx="3">
                  <c:v>9040</c:v>
                </c:pt>
                <c:pt idx="4">
                  <c:v>4600</c:v>
                </c:pt>
                <c:pt idx="5">
                  <c:v>5341</c:v>
                </c:pt>
                <c:pt idx="6">
                  <c:v>16906</c:v>
                </c:pt>
                <c:pt idx="7">
                  <c:v>13265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E-4F7F-BFBD-9040FD964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Sheet1!$W$7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Sheet1!$V$8:$V$12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Sheet1!$W$8:$W$12</c:f>
              <c:numCache>
                <c:formatCode>General</c:formatCode>
                <c:ptCount val="4"/>
                <c:pt idx="0">
                  <c:v>77</c:v>
                </c:pt>
                <c:pt idx="1">
                  <c:v>114</c:v>
                </c:pt>
                <c:pt idx="2">
                  <c:v>62</c:v>
                </c:pt>
                <c:pt idx="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6-49EF-82C4-85B311AD2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651343"/>
        <c:axId val="494608479"/>
      </c:lineChart>
      <c:catAx>
        <c:axId val="63865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08479"/>
        <c:crosses val="autoZero"/>
        <c:auto val="1"/>
        <c:lblAlgn val="ctr"/>
        <c:lblOffset val="100"/>
        <c:noMultiLvlLbl val="0"/>
      </c:catAx>
      <c:valAx>
        <c:axId val="49460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5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Sheet1!$AE$7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Sheet1!$AD$8:$AD$16</c:f>
              <c:strCache>
                <c:ptCount val="8"/>
                <c:pt idx="0">
                  <c:v>Charger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Phone</c:v>
                </c:pt>
                <c:pt idx="6">
                  <c:v>Phone Case</c:v>
                </c:pt>
                <c:pt idx="7">
                  <c:v>Tablet</c:v>
                </c:pt>
              </c:strCache>
            </c:strRef>
          </c:cat>
          <c:val>
            <c:numRef>
              <c:f>Sheet1!$AE$8:$AE$16</c:f>
              <c:numCache>
                <c:formatCode>General</c:formatCode>
                <c:ptCount val="8"/>
                <c:pt idx="0">
                  <c:v>14565</c:v>
                </c:pt>
                <c:pt idx="1">
                  <c:v>12630</c:v>
                </c:pt>
                <c:pt idx="2">
                  <c:v>14760</c:v>
                </c:pt>
                <c:pt idx="3">
                  <c:v>9380</c:v>
                </c:pt>
                <c:pt idx="4">
                  <c:v>11476</c:v>
                </c:pt>
                <c:pt idx="5">
                  <c:v>18046</c:v>
                </c:pt>
                <c:pt idx="6">
                  <c:v>13677</c:v>
                </c:pt>
                <c:pt idx="7">
                  <c:v>10516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E-4620-8975-0A34E2A5A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006079"/>
        <c:axId val="494613759"/>
      </c:areaChart>
      <c:catAx>
        <c:axId val="572006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13759"/>
        <c:crosses val="autoZero"/>
        <c:auto val="1"/>
        <c:lblAlgn val="ctr"/>
        <c:lblOffset val="100"/>
        <c:noMultiLvlLbl val="0"/>
      </c:catAx>
      <c:valAx>
        <c:axId val="49461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006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Sheet1!$AI$7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Sheet1!$AH$8:$AH$16</c:f>
              <c:strCache>
                <c:ptCount val="8"/>
                <c:pt idx="0">
                  <c:v>Charger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Phone</c:v>
                </c:pt>
                <c:pt idx="6">
                  <c:v>Phone Case</c:v>
                </c:pt>
                <c:pt idx="7">
                  <c:v>Tablet</c:v>
                </c:pt>
              </c:strCache>
            </c:strRef>
          </c:cat>
          <c:val>
            <c:numRef>
              <c:f>Sheet1!$AI$8:$AI$16</c:f>
              <c:numCache>
                <c:formatCode>General</c:formatCode>
                <c:ptCount val="8"/>
                <c:pt idx="0">
                  <c:v>14</c:v>
                </c:pt>
                <c:pt idx="1">
                  <c:v>12</c:v>
                </c:pt>
                <c:pt idx="2">
                  <c:v>14</c:v>
                </c:pt>
                <c:pt idx="3">
                  <c:v>9</c:v>
                </c:pt>
                <c:pt idx="4">
                  <c:v>11</c:v>
                </c:pt>
                <c:pt idx="5">
                  <c:v>17</c:v>
                </c:pt>
                <c:pt idx="6">
                  <c:v>13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B-466E-AB30-2AB11E97E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941583"/>
        <c:axId val="560614015"/>
      </c:lineChart>
      <c:catAx>
        <c:axId val="59794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14015"/>
        <c:crosses val="autoZero"/>
        <c:auto val="1"/>
        <c:lblAlgn val="ctr"/>
        <c:lblOffset val="100"/>
        <c:noMultiLvlLbl val="0"/>
      </c:catAx>
      <c:valAx>
        <c:axId val="56061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4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Analysis.xlsx]Sheet1!PivotTable18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Sheet1!$O$7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E4-4D08-B638-F79A47DEDB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E4-4D08-B638-F79A47DEDB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E4-4D08-B638-F79A47DEDB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9E4-4D08-B638-F79A47DEDB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9E4-4D08-B638-F79A47DEDB3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9E4-4D08-B638-F79A47DEDB3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9E4-4D08-B638-F79A47DEDB3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9E4-4D08-B638-F79A47DEDB38}"/>
              </c:ext>
            </c:extLst>
          </c:dPt>
          <c:cat>
            <c:strRef>
              <c:f>Sheet1!$N$8:$N$16</c:f>
              <c:strCache>
                <c:ptCount val="8"/>
                <c:pt idx="0">
                  <c:v>Charger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Phone</c:v>
                </c:pt>
                <c:pt idx="6">
                  <c:v>Phone Case</c:v>
                </c:pt>
                <c:pt idx="7">
                  <c:v>Tablet</c:v>
                </c:pt>
              </c:strCache>
            </c:strRef>
          </c:cat>
          <c:val>
            <c:numRef>
              <c:f>Sheet1!$O$8:$O$16</c:f>
              <c:numCache>
                <c:formatCode>General</c:formatCode>
                <c:ptCount val="8"/>
                <c:pt idx="0">
                  <c:v>14565</c:v>
                </c:pt>
                <c:pt idx="1">
                  <c:v>12630</c:v>
                </c:pt>
                <c:pt idx="2">
                  <c:v>14760</c:v>
                </c:pt>
                <c:pt idx="3">
                  <c:v>9380</c:v>
                </c:pt>
                <c:pt idx="4">
                  <c:v>11476</c:v>
                </c:pt>
                <c:pt idx="5">
                  <c:v>18046</c:v>
                </c:pt>
                <c:pt idx="6">
                  <c:v>13677</c:v>
                </c:pt>
                <c:pt idx="7">
                  <c:v>10516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D-407A-B86C-A5A4FD8BB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baseline="0"/>
              <a:t>Order ID by Product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3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Sheet1!$O$7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5C-4B2A-BD77-734AFC9AD658}"/>
              </c:ext>
            </c:extLst>
          </c:dPt>
          <c:dPt>
            <c:idx val="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5C-4B2A-BD77-734AFC9AD658}"/>
              </c:ext>
            </c:extLst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5C-4B2A-BD77-734AFC9AD658}"/>
              </c:ext>
            </c:extLst>
          </c:dPt>
          <c:dPt>
            <c:idx val="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5C-4B2A-BD77-734AFC9AD658}"/>
              </c:ext>
            </c:extLst>
          </c:dPt>
          <c:dPt>
            <c:idx val="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5C-4B2A-BD77-734AFC9AD658}"/>
              </c:ext>
            </c:extLst>
          </c:dPt>
          <c:dPt>
            <c:idx val="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35C-4B2A-BD77-734AFC9AD658}"/>
              </c:ext>
            </c:extLst>
          </c:dPt>
          <c:dPt>
            <c:idx val="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35C-4B2A-BD77-734AFC9AD658}"/>
              </c:ext>
            </c:extLst>
          </c:dPt>
          <c:dPt>
            <c:idx val="7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35C-4B2A-BD77-734AFC9AD6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Sheet1!$N$8:$N$16</c:f>
              <c:strCache>
                <c:ptCount val="8"/>
                <c:pt idx="0">
                  <c:v>Charger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Phone</c:v>
                </c:pt>
                <c:pt idx="6">
                  <c:v>Phone Case</c:v>
                </c:pt>
                <c:pt idx="7">
                  <c:v>Tablet</c:v>
                </c:pt>
              </c:strCache>
            </c:strRef>
          </c:cat>
          <c:val>
            <c:numRef>
              <c:f>Sheet1!$O$8:$O$16</c:f>
              <c:numCache>
                <c:formatCode>General</c:formatCode>
                <c:ptCount val="8"/>
                <c:pt idx="0">
                  <c:v>14565</c:v>
                </c:pt>
                <c:pt idx="1">
                  <c:v>12630</c:v>
                </c:pt>
                <c:pt idx="2">
                  <c:v>14760</c:v>
                </c:pt>
                <c:pt idx="3">
                  <c:v>9380</c:v>
                </c:pt>
                <c:pt idx="4">
                  <c:v>11476</c:v>
                </c:pt>
                <c:pt idx="5">
                  <c:v>18046</c:v>
                </c:pt>
                <c:pt idx="6">
                  <c:v>13677</c:v>
                </c:pt>
                <c:pt idx="7">
                  <c:v>10516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35C-4B2A-BD77-734AFC9AD6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by Customer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83B-4FD2-880A-2DE06242472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3B-4FD2-880A-2DE06242472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83B-4FD2-880A-2DE06242472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3B-4FD2-880A-2DE06242472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83B-4FD2-880A-2DE06242472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3B-4FD2-880A-2DE06242472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83B-4FD2-880A-2DE06242472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83B-4FD2-880A-2DE0624247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Sheet1!$R$8:$R$16</c:f>
              <c:strCache>
                <c:ptCount val="8"/>
                <c:pt idx="0">
                  <c:v>Ali Bello</c:v>
                </c:pt>
                <c:pt idx="1">
                  <c:v>David Kim</c:v>
                </c:pt>
                <c:pt idx="2">
                  <c:v>Grace Paul</c:v>
                </c:pt>
                <c:pt idx="3">
                  <c:v>James Brown</c:v>
                </c:pt>
                <c:pt idx="4">
                  <c:v>John Smith</c:v>
                </c:pt>
                <c:pt idx="5">
                  <c:v>Linda White</c:v>
                </c:pt>
                <c:pt idx="6">
                  <c:v>Mary Jones</c:v>
                </c:pt>
                <c:pt idx="7">
                  <c:v>Sarah Lee</c:v>
                </c:pt>
              </c:strCache>
            </c:strRef>
          </c:cat>
          <c:val>
            <c:numRef>
              <c:f>Sheet1!$S$8:$S$16</c:f>
              <c:numCache>
                <c:formatCode>General</c:formatCode>
                <c:ptCount val="8"/>
                <c:pt idx="0">
                  <c:v>45</c:v>
                </c:pt>
                <c:pt idx="1">
                  <c:v>42</c:v>
                </c:pt>
                <c:pt idx="2">
                  <c:v>42</c:v>
                </c:pt>
                <c:pt idx="3">
                  <c:v>39</c:v>
                </c:pt>
                <c:pt idx="4">
                  <c:v>26</c:v>
                </c:pt>
                <c:pt idx="5">
                  <c:v>40</c:v>
                </c:pt>
                <c:pt idx="6">
                  <c:v>42</c:v>
                </c:pt>
                <c:pt idx="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4-4370-8C82-C98E8A851B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6132671"/>
        <c:axId val="560609215"/>
      </c:barChart>
      <c:catAx>
        <c:axId val="636132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09215"/>
        <c:crosses val="autoZero"/>
        <c:auto val="1"/>
        <c:lblAlgn val="ctr"/>
        <c:lblOffset val="100"/>
        <c:noMultiLvlLbl val="0"/>
      </c:catAx>
      <c:valAx>
        <c:axId val="5606092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3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Quantity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807820632590412E-2"/>
          <c:y val="0.21707521383365128"/>
          <c:w val="0.89280234885893506"/>
          <c:h val="0.5564847863762038"/>
        </c:manualLayout>
      </c:layout>
      <c:lineChart>
        <c:grouping val="standard"/>
        <c:varyColors val="0"/>
        <c:ser>
          <c:idx val="0"/>
          <c:order val="0"/>
          <c:tx>
            <c:strRef>
              <c:f>Sheet1!$W$7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Sheet1!$V$8:$V$12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Sheet1!$W$8:$W$12</c:f>
              <c:numCache>
                <c:formatCode>General</c:formatCode>
                <c:ptCount val="4"/>
                <c:pt idx="0">
                  <c:v>77</c:v>
                </c:pt>
                <c:pt idx="1">
                  <c:v>114</c:v>
                </c:pt>
                <c:pt idx="2">
                  <c:v>62</c:v>
                </c:pt>
                <c:pt idx="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2D-49F9-B7A5-1AC8689FB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651343"/>
        <c:axId val="494608479"/>
      </c:lineChart>
      <c:catAx>
        <c:axId val="63865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08479"/>
        <c:crosses val="autoZero"/>
        <c:auto val="1"/>
        <c:lblAlgn val="ctr"/>
        <c:lblOffset val="100"/>
        <c:noMultiLvlLbl val="0"/>
      </c:catAx>
      <c:valAx>
        <c:axId val="494608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51343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[Sales Analysis.xlsx]Sheet1!PivotTable3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Product by Customer name</a:t>
            </a:r>
          </a:p>
        </c:rich>
      </c:tx>
      <c:layout>
        <c:manualLayout>
          <c:xMode val="edge"/>
          <c:yMode val="edge"/>
          <c:x val="0.21741162753676296"/>
          <c:y val="0.11405656662578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>
              <a:tint val="4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3">
              <a:tint val="6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3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3">
              <a:tint val="9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3">
              <a:shade val="9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3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3">
              <a:shade val="6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3">
              <a:shade val="4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Sheet1!$AA$7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EF-418A-B278-F97181B32722}"/>
              </c:ext>
            </c:extLst>
          </c:dPt>
          <c:dPt>
            <c:idx val="1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EF-418A-B278-F97181B32722}"/>
              </c:ext>
            </c:extLst>
          </c:dPt>
          <c:dPt>
            <c:idx val="2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EF-418A-B278-F97181B32722}"/>
              </c:ext>
            </c:extLst>
          </c:dPt>
          <c:dPt>
            <c:idx val="3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EF-418A-B278-F97181B32722}"/>
              </c:ext>
            </c:extLst>
          </c:dPt>
          <c:dPt>
            <c:idx val="4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EF-418A-B278-F97181B32722}"/>
              </c:ext>
            </c:extLst>
          </c:dPt>
          <c:dPt>
            <c:idx val="5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8EF-418A-B278-F97181B32722}"/>
              </c:ext>
            </c:extLst>
          </c:dPt>
          <c:dPt>
            <c:idx val="6"/>
            <c:bubble3D val="0"/>
            <c:spPr>
              <a:solidFill>
                <a:schemeClr val="accent3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8EF-418A-B278-F97181B32722}"/>
              </c:ext>
            </c:extLst>
          </c:dPt>
          <c:dPt>
            <c:idx val="7"/>
            <c:bubble3D val="0"/>
            <c:spPr>
              <a:solidFill>
                <a:schemeClr val="accent3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8EF-418A-B278-F97181B327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Sheet1!$Z$8:$Z$16</c:f>
              <c:strCache>
                <c:ptCount val="8"/>
                <c:pt idx="0">
                  <c:v>Ali Bello</c:v>
                </c:pt>
                <c:pt idx="1">
                  <c:v>David Kim</c:v>
                </c:pt>
                <c:pt idx="2">
                  <c:v>Grace Paul</c:v>
                </c:pt>
                <c:pt idx="3">
                  <c:v>James Brown</c:v>
                </c:pt>
                <c:pt idx="4">
                  <c:v>John Smith</c:v>
                </c:pt>
                <c:pt idx="5">
                  <c:v>Linda White</c:v>
                </c:pt>
                <c:pt idx="6">
                  <c:v>Mary Jones</c:v>
                </c:pt>
                <c:pt idx="7">
                  <c:v>Sarah Lee</c:v>
                </c:pt>
              </c:strCache>
            </c:strRef>
          </c:cat>
          <c:val>
            <c:numRef>
              <c:f>Sheet1!$AA$8:$AA$16</c:f>
              <c:numCache>
                <c:formatCode>General</c:formatCode>
                <c:ptCount val="8"/>
                <c:pt idx="0">
                  <c:v>5964</c:v>
                </c:pt>
                <c:pt idx="1">
                  <c:v>5463</c:v>
                </c:pt>
                <c:pt idx="2">
                  <c:v>4341</c:v>
                </c:pt>
                <c:pt idx="3">
                  <c:v>9040</c:v>
                </c:pt>
                <c:pt idx="4">
                  <c:v>4600</c:v>
                </c:pt>
                <c:pt idx="5">
                  <c:v>5341</c:v>
                </c:pt>
                <c:pt idx="6">
                  <c:v>16906</c:v>
                </c:pt>
                <c:pt idx="7">
                  <c:v>13265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8EF-418A-B278-F97181B327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</a:t>
            </a:r>
            <a:r>
              <a:rPr lang="en-US" b="1" baseline="0"/>
              <a:t> ID by Product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50000"/>
            </a:schemeClr>
          </a:solidFill>
          <a:ln>
            <a:solidFill>
              <a:schemeClr val="accent3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Sheet1!$AE$7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</c:spPr>
          <c:cat>
            <c:strRef>
              <c:f>Sheet1!$AD$8:$AD$16</c:f>
              <c:strCache>
                <c:ptCount val="8"/>
                <c:pt idx="0">
                  <c:v>Charger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Phone</c:v>
                </c:pt>
                <c:pt idx="6">
                  <c:v>Phone Case</c:v>
                </c:pt>
                <c:pt idx="7">
                  <c:v>Tablet</c:v>
                </c:pt>
              </c:strCache>
            </c:strRef>
          </c:cat>
          <c:val>
            <c:numRef>
              <c:f>Sheet1!$AE$8:$AE$16</c:f>
              <c:numCache>
                <c:formatCode>General</c:formatCode>
                <c:ptCount val="8"/>
                <c:pt idx="0">
                  <c:v>14565</c:v>
                </c:pt>
                <c:pt idx="1">
                  <c:v>12630</c:v>
                </c:pt>
                <c:pt idx="2">
                  <c:v>14760</c:v>
                </c:pt>
                <c:pt idx="3">
                  <c:v>9380</c:v>
                </c:pt>
                <c:pt idx="4">
                  <c:v>11476</c:v>
                </c:pt>
                <c:pt idx="5">
                  <c:v>18046</c:v>
                </c:pt>
                <c:pt idx="6">
                  <c:v>13677</c:v>
                </c:pt>
                <c:pt idx="7">
                  <c:v>10516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6-429E-AC87-C3A329320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006079"/>
        <c:axId val="494613759"/>
      </c:areaChart>
      <c:catAx>
        <c:axId val="572006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13759"/>
        <c:crosses val="autoZero"/>
        <c:auto val="1"/>
        <c:lblAlgn val="ctr"/>
        <c:lblOffset val="100"/>
        <c:noMultiLvlLbl val="0"/>
      </c:catAx>
      <c:valAx>
        <c:axId val="49461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00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Count</a:t>
            </a:r>
            <a:r>
              <a:rPr lang="en-US" b="1" baseline="0"/>
              <a:t> of categories by Product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Sheet1!$AI$7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Sheet1!$AH$8:$AH$16</c:f>
              <c:strCache>
                <c:ptCount val="8"/>
                <c:pt idx="0">
                  <c:v>Charger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Phone</c:v>
                </c:pt>
                <c:pt idx="6">
                  <c:v>Phone Case</c:v>
                </c:pt>
                <c:pt idx="7">
                  <c:v>Tablet</c:v>
                </c:pt>
              </c:strCache>
            </c:strRef>
          </c:cat>
          <c:val>
            <c:numRef>
              <c:f>Sheet1!$AI$8:$AI$16</c:f>
              <c:numCache>
                <c:formatCode>General</c:formatCode>
                <c:ptCount val="8"/>
                <c:pt idx="0">
                  <c:v>14</c:v>
                </c:pt>
                <c:pt idx="1">
                  <c:v>12</c:v>
                </c:pt>
                <c:pt idx="2">
                  <c:v>14</c:v>
                </c:pt>
                <c:pt idx="3">
                  <c:v>9</c:v>
                </c:pt>
                <c:pt idx="4">
                  <c:v>11</c:v>
                </c:pt>
                <c:pt idx="5">
                  <c:v>17</c:v>
                </c:pt>
                <c:pt idx="6">
                  <c:v>13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CD-46DA-A32A-444446D1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941583"/>
        <c:axId val="560614015"/>
      </c:lineChart>
      <c:catAx>
        <c:axId val="597941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14015"/>
        <c:crosses val="autoZero"/>
        <c:auto val="1"/>
        <c:lblAlgn val="ctr"/>
        <c:lblOffset val="100"/>
        <c:noMultiLvlLbl val="0"/>
      </c:catAx>
      <c:valAx>
        <c:axId val="5606140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4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image" Target="../media/image3.png"/><Relationship Id="rId7" Type="http://schemas.openxmlformats.org/officeDocument/2006/relationships/chart" Target="../charts/chart9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image" Target="../media/image4.svg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432226</xdr:colOff>
      <xdr:row>16</xdr:row>
      <xdr:rowOff>144075</xdr:rowOff>
    </xdr:from>
    <xdr:to>
      <xdr:col>19</xdr:col>
      <xdr:colOff>24011</xdr:colOff>
      <xdr:row>30</xdr:row>
      <xdr:rowOff>96049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5C0CDB-C43E-B492-3648-32409E15D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414261</xdr:colOff>
      <xdr:row>19</xdr:row>
      <xdr:rowOff>168088</xdr:rowOff>
    </xdr:from>
    <xdr:to>
      <xdr:col>28</xdr:col>
      <xdr:colOff>64948</xdr:colOff>
      <xdr:row>38</xdr:row>
      <xdr:rowOff>40013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B4E778-9688-294D-A55C-122065449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237034</xdr:colOff>
      <xdr:row>15</xdr:row>
      <xdr:rowOff>16008</xdr:rowOff>
    </xdr:from>
    <xdr:to>
      <xdr:col>24</xdr:col>
      <xdr:colOff>94190</xdr:colOff>
      <xdr:row>26</xdr:row>
      <xdr:rowOff>72038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6E8423-45BC-4870-F7BC-78D6A7756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541415</xdr:colOff>
      <xdr:row>23</xdr:row>
      <xdr:rowOff>70757</xdr:rowOff>
    </xdr:from>
    <xdr:to>
      <xdr:col>31</xdr:col>
      <xdr:colOff>957635</xdr:colOff>
      <xdr:row>36</xdr:row>
      <xdr:rowOff>185698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A8C419-5F1B-D1E0-2F45-A46C96EBE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116689</xdr:colOff>
      <xdr:row>19</xdr:row>
      <xdr:rowOff>67636</xdr:rowOff>
    </xdr:from>
    <xdr:to>
      <xdr:col>36</xdr:col>
      <xdr:colOff>413666</xdr:colOff>
      <xdr:row>32</xdr:row>
      <xdr:rowOff>166568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07C79A7-A8F3-B5AE-5445-9F0FBB9E1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216109</xdr:colOff>
      <xdr:row>18</xdr:row>
      <xdr:rowOff>56030</xdr:rowOff>
    </xdr:from>
    <xdr:to>
      <xdr:col>15</xdr:col>
      <xdr:colOff>112054</xdr:colOff>
      <xdr:row>32</xdr:row>
      <xdr:rowOff>50908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5CD84D7-DADA-CB49-6591-D864E9099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269874</xdr:colOff>
      <xdr:row>6</xdr:row>
      <xdr:rowOff>142876</xdr:rowOff>
    </xdr:from>
    <xdr:to>
      <xdr:col>19</xdr:col>
      <xdr:colOff>341462</xdr:colOff>
      <xdr:row>67</xdr:row>
      <xdr:rowOff>125801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80F7DA-4C28-5D51-9D7F-43B90BF7783D}"/>
            </a:ext>
          </a:extLst>
        </xdr:cNvPr>
        <xdr:cNvSpPr/>
      </xdr:nvSpPr>
      <xdr:spPr>
        <a:xfrm>
          <a:off x="1491949" y="1329008"/>
          <a:ext cx="10459230" cy="1204193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  <a:effectLst>
          <a:glow rad="101600">
            <a:schemeClr val="accent3">
              <a:lumMod val="75000"/>
              <a:alpha val="6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D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346743</xdr:colOff>
      <xdr:row>3</xdr:row>
      <xdr:rowOff>31750</xdr:rowOff>
    </xdr:from>
    <xdr:to>
      <xdr:col>19</xdr:col>
      <xdr:colOff>254000</xdr:colOff>
      <xdr:row>13</xdr:row>
      <xdr:rowOff>63500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FF87869-8BCD-5AEC-981F-C77257B48443}"/>
            </a:ext>
          </a:extLst>
        </xdr:cNvPr>
        <xdr:cNvSpPr/>
      </xdr:nvSpPr>
      <xdr:spPr>
        <a:xfrm>
          <a:off x="1553243" y="603250"/>
          <a:ext cx="10162507" cy="1936750"/>
        </a:xfrm>
        <a:prstGeom prst="round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TOPMOST SALES ANALYSIS DASHBOARD</a:t>
          </a:r>
        </a:p>
      </xdr:txBody>
    </xdr:sp>
    <xdr:clientData/>
  </xdr:twoCellAnchor>
  <xdr:twoCellAnchor editAs="oneCell">
    <xdr:from>
      <xdr:col>2</xdr:col>
      <xdr:colOff>442468</xdr:colOff>
      <xdr:row>4</xdr:row>
      <xdr:rowOff>174626</xdr:rowOff>
    </xdr:from>
    <xdr:to>
      <xdr:col>4</xdr:col>
      <xdr:colOff>428626</xdr:colOff>
      <xdr:row>11</xdr:row>
      <xdr:rowOff>77816</xdr:rowOff>
    </xdr:to>
    <xdr:pic>
      <xdr:nvPicPr>
        <xdr:cNvPr id="5" name="Graphic 4" descr="Social network with solid fill">
          <a:extLst>
            <a:ext uri="{FF2B5EF4-FFF2-40B4-BE49-F238E27FC236}">
              <a16:creationId xmlns:a16="http://schemas.microsoft.com/office/drawing/2014/main" id="{02DCCA1D-9600-EAA4-2D3A-639DCD466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48968" y="936626"/>
          <a:ext cx="1192658" cy="1236690"/>
        </a:xfrm>
        <a:prstGeom prst="rect">
          <a:avLst/>
        </a:prstGeom>
      </xdr:spPr>
    </xdr:pic>
    <xdr:clientData/>
  </xdr:twoCellAnchor>
  <xdr:twoCellAnchor>
    <xdr:from>
      <xdr:col>9</xdr:col>
      <xdr:colOff>428626</xdr:colOff>
      <xdr:row>6</xdr:row>
      <xdr:rowOff>1</xdr:rowOff>
    </xdr:from>
    <xdr:to>
      <xdr:col>13</xdr:col>
      <xdr:colOff>555625</xdr:colOff>
      <xdr:row>10</xdr:row>
      <xdr:rowOff>158750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3323FB4-741B-0805-7D33-94C0027AFF3C}"/>
            </a:ext>
          </a:extLst>
        </xdr:cNvPr>
        <xdr:cNvSpPr/>
      </xdr:nvSpPr>
      <xdr:spPr>
        <a:xfrm>
          <a:off x="5857876" y="1143001"/>
          <a:ext cx="2539999" cy="920749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050" b="1">
              <a:solidFill>
                <a:schemeClr val="tx1"/>
              </a:solidFill>
              <a:latin typeface="+mn-lt"/>
              <a:ea typeface="+mn-ea"/>
              <a:cs typeface="+mn-cs"/>
            </a:rPr>
            <a:t>TOTAL QUANTITY </a:t>
          </a:r>
        </a:p>
        <a:p>
          <a:pPr marL="0" indent="0" algn="ctr"/>
          <a:endParaRPr lang="en-US" sz="105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1400" b="1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rPr>
            <a:t>323</a:t>
          </a:r>
        </a:p>
        <a:p>
          <a:pPr marL="0" indent="0" algn="ctr"/>
          <a:endParaRPr lang="en-US" sz="105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</xdr:colOff>
      <xdr:row>6</xdr:row>
      <xdr:rowOff>63500</xdr:rowOff>
    </xdr:from>
    <xdr:to>
      <xdr:col>19</xdr:col>
      <xdr:colOff>31750</xdr:colOff>
      <xdr:row>11</xdr:row>
      <xdr:rowOff>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C628E33-7F7B-45E1-28BC-E913F531B95D}"/>
            </a:ext>
          </a:extLst>
        </xdr:cNvPr>
        <xdr:cNvSpPr/>
      </xdr:nvSpPr>
      <xdr:spPr>
        <a:xfrm>
          <a:off x="9048751" y="1206500"/>
          <a:ext cx="2444749" cy="8890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050" b="1">
              <a:solidFill>
                <a:schemeClr val="tx1"/>
              </a:solidFill>
              <a:latin typeface="+mn-lt"/>
              <a:ea typeface="+mn-ea"/>
              <a:cs typeface="+mn-cs"/>
            </a:rPr>
            <a:t>TOTAL PRODUCT</a:t>
          </a:r>
        </a:p>
        <a:p>
          <a:pPr marL="0" indent="0" algn="ctr"/>
          <a:endParaRPr lang="en-US" sz="105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64920</a:t>
          </a:r>
        </a:p>
      </xdr:txBody>
    </xdr:sp>
    <xdr:clientData/>
  </xdr:twoCellAnchor>
  <xdr:twoCellAnchor>
    <xdr:from>
      <xdr:col>4</xdr:col>
      <xdr:colOff>539750</xdr:colOff>
      <xdr:row>5</xdr:row>
      <xdr:rowOff>158751</xdr:rowOff>
    </xdr:from>
    <xdr:to>
      <xdr:col>9</xdr:col>
      <xdr:colOff>31749</xdr:colOff>
      <xdr:row>11</xdr:row>
      <xdr:rowOff>15875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899A6EE-BD11-2B60-193F-198E53DA2653}"/>
            </a:ext>
          </a:extLst>
        </xdr:cNvPr>
        <xdr:cNvSpPr/>
      </xdr:nvSpPr>
      <xdr:spPr>
        <a:xfrm>
          <a:off x="2952750" y="1111251"/>
          <a:ext cx="2508249" cy="1000124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050" b="1">
              <a:solidFill>
                <a:schemeClr val="tx1"/>
              </a:solidFill>
              <a:latin typeface="+mn-lt"/>
              <a:ea typeface="+mn-ea"/>
              <a:cs typeface="+mn-cs"/>
            </a:rPr>
            <a:t>TOTAL UNIT</a:t>
          </a:r>
        </a:p>
        <a:p>
          <a:pPr marL="0" indent="0" algn="ctr"/>
          <a:endParaRPr lang="en-US" sz="105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1400" b="1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rPr>
            <a:t>20114</a:t>
          </a:r>
        </a:p>
      </xdr:txBody>
    </xdr:sp>
    <xdr:clientData/>
  </xdr:twoCellAnchor>
  <xdr:twoCellAnchor editAs="oneCell">
    <xdr:from>
      <xdr:col>7</xdr:col>
      <xdr:colOff>508668</xdr:colOff>
      <xdr:row>7</xdr:row>
      <xdr:rowOff>76700</xdr:rowOff>
    </xdr:from>
    <xdr:to>
      <xdr:col>8</xdr:col>
      <xdr:colOff>270040</xdr:colOff>
      <xdr:row>9</xdr:row>
      <xdr:rowOff>68677</xdr:rowOff>
    </xdr:to>
    <xdr:pic>
      <xdr:nvPicPr>
        <xdr:cNvPr id="20" name="Graphic 19" descr="Database with solid fill">
          <a:extLst>
            <a:ext uri="{FF2B5EF4-FFF2-40B4-BE49-F238E27FC236}">
              <a16:creationId xmlns:a16="http://schemas.microsoft.com/office/drawing/2014/main" id="{53E324F4-9C92-A7F3-006B-FBE4EB11E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731418" y="1410200"/>
          <a:ext cx="364622" cy="372977"/>
        </a:xfrm>
        <a:prstGeom prst="rect">
          <a:avLst/>
        </a:prstGeom>
      </xdr:spPr>
    </xdr:pic>
    <xdr:clientData/>
  </xdr:twoCellAnchor>
  <xdr:twoCellAnchor editAs="oneCell">
    <xdr:from>
      <xdr:col>13</xdr:col>
      <xdr:colOff>41943</xdr:colOff>
      <xdr:row>7</xdr:row>
      <xdr:rowOff>149725</xdr:rowOff>
    </xdr:from>
    <xdr:to>
      <xdr:col>13</xdr:col>
      <xdr:colOff>406565</xdr:colOff>
      <xdr:row>9</xdr:row>
      <xdr:rowOff>141702</xdr:rowOff>
    </xdr:to>
    <xdr:pic>
      <xdr:nvPicPr>
        <xdr:cNvPr id="21" name="Graphic 20" descr="Database with solid fill">
          <a:extLst>
            <a:ext uri="{FF2B5EF4-FFF2-40B4-BE49-F238E27FC236}">
              <a16:creationId xmlns:a16="http://schemas.microsoft.com/office/drawing/2014/main" id="{5F8EB5D0-DA0B-88DC-18AF-7E2A91BFA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884193" y="1483225"/>
          <a:ext cx="364622" cy="372977"/>
        </a:xfrm>
        <a:prstGeom prst="rect">
          <a:avLst/>
        </a:prstGeom>
      </xdr:spPr>
    </xdr:pic>
    <xdr:clientData/>
  </xdr:twoCellAnchor>
  <xdr:twoCellAnchor editAs="oneCell">
    <xdr:from>
      <xdr:col>18</xdr:col>
      <xdr:colOff>40606</xdr:colOff>
      <xdr:row>7</xdr:row>
      <xdr:rowOff>175960</xdr:rowOff>
    </xdr:from>
    <xdr:to>
      <xdr:col>18</xdr:col>
      <xdr:colOff>413583</xdr:colOff>
      <xdr:row>9</xdr:row>
      <xdr:rowOff>167937</xdr:rowOff>
    </xdr:to>
    <xdr:pic>
      <xdr:nvPicPr>
        <xdr:cNvPr id="22" name="Graphic 21" descr="Database with solid fill">
          <a:extLst>
            <a:ext uri="{FF2B5EF4-FFF2-40B4-BE49-F238E27FC236}">
              <a16:creationId xmlns:a16="http://schemas.microsoft.com/office/drawing/2014/main" id="{04BDB75A-DA1E-9565-35DB-23197069C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899106" y="1509460"/>
          <a:ext cx="372977" cy="372977"/>
        </a:xfrm>
        <a:prstGeom prst="rect">
          <a:avLst/>
        </a:prstGeom>
      </xdr:spPr>
    </xdr:pic>
    <xdr:clientData/>
  </xdr:twoCellAnchor>
  <xdr:twoCellAnchor editAs="oneCell">
    <xdr:from>
      <xdr:col>8</xdr:col>
      <xdr:colOff>57818</xdr:colOff>
      <xdr:row>8</xdr:row>
      <xdr:rowOff>38600</xdr:rowOff>
    </xdr:from>
    <xdr:to>
      <xdr:col>8</xdr:col>
      <xdr:colOff>422440</xdr:colOff>
      <xdr:row>10</xdr:row>
      <xdr:rowOff>30577</xdr:rowOff>
    </xdr:to>
    <xdr:pic>
      <xdr:nvPicPr>
        <xdr:cNvPr id="34" name="Graphic 33" descr="Database with solid fill">
          <a:extLst>
            <a:ext uri="{FF2B5EF4-FFF2-40B4-BE49-F238E27FC236}">
              <a16:creationId xmlns:a16="http://schemas.microsoft.com/office/drawing/2014/main" id="{C80A1C3C-A5C2-D137-8E5D-09A3AA293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883818" y="1562600"/>
          <a:ext cx="364622" cy="372977"/>
        </a:xfrm>
        <a:prstGeom prst="rect">
          <a:avLst/>
        </a:prstGeom>
      </xdr:spPr>
    </xdr:pic>
    <xdr:clientData/>
  </xdr:twoCellAnchor>
  <xdr:twoCellAnchor editAs="oneCell">
    <xdr:from>
      <xdr:col>13</xdr:col>
      <xdr:colOff>178468</xdr:colOff>
      <xdr:row>8</xdr:row>
      <xdr:rowOff>127500</xdr:rowOff>
    </xdr:from>
    <xdr:to>
      <xdr:col>13</xdr:col>
      <xdr:colOff>543090</xdr:colOff>
      <xdr:row>10</xdr:row>
      <xdr:rowOff>119477</xdr:rowOff>
    </xdr:to>
    <xdr:pic>
      <xdr:nvPicPr>
        <xdr:cNvPr id="35" name="Graphic 34" descr="Database with solid fill">
          <a:extLst>
            <a:ext uri="{FF2B5EF4-FFF2-40B4-BE49-F238E27FC236}">
              <a16:creationId xmlns:a16="http://schemas.microsoft.com/office/drawing/2014/main" id="{AFF89735-68C2-64F1-5E56-8ADAA5BC0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20718" y="1651500"/>
          <a:ext cx="364622" cy="372977"/>
        </a:xfrm>
        <a:prstGeom prst="rect">
          <a:avLst/>
        </a:prstGeom>
      </xdr:spPr>
    </xdr:pic>
    <xdr:clientData/>
  </xdr:twoCellAnchor>
  <xdr:twoCellAnchor editAs="oneCell">
    <xdr:from>
      <xdr:col>18</xdr:col>
      <xdr:colOff>193006</xdr:colOff>
      <xdr:row>8</xdr:row>
      <xdr:rowOff>137860</xdr:rowOff>
    </xdr:from>
    <xdr:to>
      <xdr:col>18</xdr:col>
      <xdr:colOff>565983</xdr:colOff>
      <xdr:row>10</xdr:row>
      <xdr:rowOff>129837</xdr:rowOff>
    </xdr:to>
    <xdr:pic>
      <xdr:nvPicPr>
        <xdr:cNvPr id="36" name="Graphic 35" descr="Database with solid fill">
          <a:extLst>
            <a:ext uri="{FF2B5EF4-FFF2-40B4-BE49-F238E27FC236}">
              <a16:creationId xmlns:a16="http://schemas.microsoft.com/office/drawing/2014/main" id="{DD053D42-9262-C72E-6FB8-BC1F723B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051506" y="1661860"/>
          <a:ext cx="372977" cy="372977"/>
        </a:xfrm>
        <a:prstGeom prst="rect">
          <a:avLst/>
        </a:prstGeom>
      </xdr:spPr>
    </xdr:pic>
    <xdr:clientData/>
  </xdr:twoCellAnchor>
  <xdr:twoCellAnchor>
    <xdr:from>
      <xdr:col>2</xdr:col>
      <xdr:colOff>285750</xdr:colOff>
      <xdr:row>13</xdr:row>
      <xdr:rowOff>152644</xdr:rowOff>
    </xdr:from>
    <xdr:to>
      <xdr:col>10</xdr:col>
      <xdr:colOff>444500</xdr:colOff>
      <xdr:row>30</xdr:row>
      <xdr:rowOff>33421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673C70B1-16E7-C199-3BB0-05C4FB210C25}"/>
            </a:ext>
          </a:extLst>
        </xdr:cNvPr>
        <xdr:cNvSpPr/>
      </xdr:nvSpPr>
      <xdr:spPr>
        <a:xfrm>
          <a:off x="1488908" y="2542249"/>
          <a:ext cx="4971381" cy="3005646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185760</xdr:colOff>
      <xdr:row>49</xdr:row>
      <xdr:rowOff>80472</xdr:rowOff>
    </xdr:from>
    <xdr:to>
      <xdr:col>19</xdr:col>
      <xdr:colOff>210181</xdr:colOff>
      <xdr:row>67</xdr:row>
      <xdr:rowOff>59278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6B1E7C21-22CB-D620-F07B-19DD2F352953}"/>
            </a:ext>
          </a:extLst>
        </xdr:cNvPr>
        <xdr:cNvSpPr/>
      </xdr:nvSpPr>
      <xdr:spPr>
        <a:xfrm>
          <a:off x="6821510" y="9414972"/>
          <a:ext cx="4850421" cy="3407806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63500</xdr:colOff>
      <xdr:row>31</xdr:row>
      <xdr:rowOff>40299</xdr:rowOff>
    </xdr:from>
    <xdr:to>
      <xdr:col>19</xdr:col>
      <xdr:colOff>188057</xdr:colOff>
      <xdr:row>48</xdr:row>
      <xdr:rowOff>95250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F5BE0F4F-113A-4061-15E9-0B2A0F4CDFD1}"/>
            </a:ext>
          </a:extLst>
        </xdr:cNvPr>
        <xdr:cNvSpPr/>
      </xdr:nvSpPr>
      <xdr:spPr>
        <a:xfrm>
          <a:off x="6699250" y="5945799"/>
          <a:ext cx="4950557" cy="3293451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301625</xdr:colOff>
      <xdr:row>31</xdr:row>
      <xdr:rowOff>95251</xdr:rowOff>
    </xdr:from>
    <xdr:to>
      <xdr:col>10</xdr:col>
      <xdr:colOff>531204</xdr:colOff>
      <xdr:row>48</xdr:row>
      <xdr:rowOff>79375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6E595210-FCAB-AC68-28FC-8D411F0ED579}"/>
            </a:ext>
          </a:extLst>
        </xdr:cNvPr>
        <xdr:cNvSpPr/>
      </xdr:nvSpPr>
      <xdr:spPr>
        <a:xfrm>
          <a:off x="1508125" y="6000751"/>
          <a:ext cx="5055579" cy="3222624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317500</xdr:colOff>
      <xdr:row>49</xdr:row>
      <xdr:rowOff>127000</xdr:rowOff>
    </xdr:from>
    <xdr:to>
      <xdr:col>11</xdr:col>
      <xdr:colOff>15875</xdr:colOff>
      <xdr:row>67</xdr:row>
      <xdr:rowOff>48846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BE7116EC-17F5-72CB-664D-52A1AD8BEA70}"/>
            </a:ext>
          </a:extLst>
        </xdr:cNvPr>
        <xdr:cNvSpPr/>
      </xdr:nvSpPr>
      <xdr:spPr>
        <a:xfrm>
          <a:off x="1524000" y="9461500"/>
          <a:ext cx="5127625" cy="3350846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24423</xdr:colOff>
      <xdr:row>14</xdr:row>
      <xdr:rowOff>31574</xdr:rowOff>
    </xdr:from>
    <xdr:to>
      <xdr:col>19</xdr:col>
      <xdr:colOff>244229</xdr:colOff>
      <xdr:row>31</xdr:row>
      <xdr:rowOff>7150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EE555ECF-ACB1-43D4-DE84-D2FDF2DE95A2}"/>
            </a:ext>
          </a:extLst>
        </xdr:cNvPr>
        <xdr:cNvSpPr/>
      </xdr:nvSpPr>
      <xdr:spPr>
        <a:xfrm>
          <a:off x="6668691" y="2633525"/>
          <a:ext cx="5052001" cy="3135088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349250</xdr:colOff>
      <xdr:row>14</xdr:row>
      <xdr:rowOff>114084</xdr:rowOff>
    </xdr:from>
    <xdr:to>
      <xdr:col>10</xdr:col>
      <xdr:colOff>349250</xdr:colOff>
      <xdr:row>29</xdr:row>
      <xdr:rowOff>33420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3F6D7568-B881-447B-A674-0BB5D33B6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391438</xdr:colOff>
      <xdr:row>14</xdr:row>
      <xdr:rowOff>169623</xdr:rowOff>
    </xdr:from>
    <xdr:to>
      <xdr:col>19</xdr:col>
      <xdr:colOff>177651</xdr:colOff>
      <xdr:row>28</xdr:row>
      <xdr:rowOff>156575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1928000F-6F54-4EE6-AF13-13C1D3257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460375</xdr:colOff>
      <xdr:row>32</xdr:row>
      <xdr:rowOff>95250</xdr:rowOff>
    </xdr:from>
    <xdr:to>
      <xdr:col>10</xdr:col>
      <xdr:colOff>317500</xdr:colOff>
      <xdr:row>47</xdr:row>
      <xdr:rowOff>96865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9139B4ED-C44A-4DB3-9027-7F4C9E7C5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183816</xdr:colOff>
      <xdr:row>32</xdr:row>
      <xdr:rowOff>16711</xdr:rowOff>
    </xdr:from>
    <xdr:to>
      <xdr:col>19</xdr:col>
      <xdr:colOff>66842</xdr:colOff>
      <xdr:row>47</xdr:row>
      <xdr:rowOff>174627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CFB00576-4462-4B09-89E6-B49C2D495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522653</xdr:colOff>
      <xdr:row>50</xdr:row>
      <xdr:rowOff>95250</xdr:rowOff>
    </xdr:from>
    <xdr:to>
      <xdr:col>10</xdr:col>
      <xdr:colOff>365125</xdr:colOff>
      <xdr:row>66</xdr:row>
      <xdr:rowOff>114789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F560EFE-361E-48C2-A8DD-56F5AC10B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382218</xdr:colOff>
      <xdr:row>50</xdr:row>
      <xdr:rowOff>20758</xdr:rowOff>
    </xdr:from>
    <xdr:to>
      <xdr:col>19</xdr:col>
      <xdr:colOff>31749</xdr:colOff>
      <xdr:row>66</xdr:row>
      <xdr:rowOff>63499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D459B6D4-EE1F-48DB-B31E-7E27917F0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1.675501851852" createdVersion="8" refreshedVersion="8" minRefreshableVersion="3" recordCount="100" xr:uid="{00000000-000A-0000-FFFF-FFFF12000000}">
  <cacheSource type="worksheet">
    <worksheetSource name="Table1"/>
  </cacheSource>
  <cacheFields count="12">
    <cacheField name="OrderID" numFmtId="0">
      <sharedItems containsSemiMixedTypes="0" containsString="0" containsNumber="1" containsInteger="1" minValue="1001" maxValue="1100"/>
    </cacheField>
    <cacheField name="Date" numFmtId="0">
      <sharedItems count="50">
        <s v="2025-02-18"/>
        <s v="2025-02-10"/>
        <s v="2025-02-03"/>
        <s v="2025-02-02"/>
        <s v="2025-02-08"/>
        <s v="2025-02-25"/>
        <s v="2025-02-27"/>
        <s v="2025-01-26"/>
        <s v="2025-01-07"/>
        <s v="2025-01-30"/>
        <s v="2025-01-20"/>
        <s v="2025-01-08"/>
        <s v="2025-02-16"/>
        <s v="2025-01-04"/>
        <s v="2025-02-12"/>
        <s v="2025-01-05"/>
        <s v="2025-02-13"/>
        <s v="2025-01-24"/>
        <s v="2025-01-23"/>
        <s v="2025-01-01"/>
        <s v="2025-02-05"/>
        <s v="2025-02-11"/>
        <s v="2025-01-27"/>
        <s v="2025-02-22"/>
        <s v="2025-01-09"/>
        <s v="2025-02-19"/>
        <s v="2025-02-07"/>
        <s v="2025-02-20"/>
        <s v="2025-01-12"/>
        <s v="2025-01-13"/>
        <s v="2025-01-29"/>
        <s v="2025-02-26"/>
        <s v="2025-01-18"/>
        <s v="2025-02-21"/>
        <s v="2025-02-17"/>
        <s v="2025-02-23"/>
        <s v="2025-02-04"/>
        <s v="2025-01-02"/>
        <s v="2025-01-16"/>
        <s v="2025-01-03"/>
        <s v="2025-02-24"/>
        <s v="2025-02-06"/>
        <s v="2025-01-14"/>
        <s v="2025-01-25"/>
        <s v="2025-01-11"/>
        <s v="2025-02-14"/>
        <s v="2025-02-15"/>
        <s v="2025-01-22"/>
        <s v="2025-01-19"/>
        <s v="2025-01-10"/>
      </sharedItems>
    </cacheField>
    <cacheField name="Customer" numFmtId="0">
      <sharedItems count="8">
        <s v="Sarah Lee"/>
        <s v="James Brown"/>
        <s v="Grace Paul"/>
        <s v="David Kim"/>
        <s v="Mary Jones"/>
        <s v="Linda White"/>
        <s v="Ali Bello"/>
        <s v="John Smith"/>
      </sharedItems>
    </cacheField>
    <cacheField name="Product" numFmtId="0">
      <sharedItems count="8">
        <s v="Headphones"/>
        <s v="Tablet"/>
        <s v="Monitor"/>
        <s v="Charger"/>
        <s v="Laptop"/>
        <s v="Phone"/>
        <s v="Phone Case"/>
        <s v="Keyboard"/>
      </sharedItems>
    </cacheField>
    <cacheField name="Category" numFmtId="0">
      <sharedItems count="2">
        <s v="Accessories"/>
        <s v="Electronics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12" maxValue="696"/>
    </cacheField>
    <cacheField name="Total" numFmtId="0">
      <sharedItems containsSemiMixedTypes="0" containsString="0" containsNumber="1" containsInteger="1" minValue="14" maxValue="3480"/>
    </cacheField>
    <cacheField name="Region" numFmtId="0">
      <sharedItems count="4">
        <s v="East"/>
        <s v="North"/>
        <s v="West"/>
        <s v="South"/>
      </sharedItems>
    </cacheField>
    <cacheField name="Date by  Year" numFmtId="0">
      <sharedItems count="1">
        <s v="2025"/>
      </sharedItems>
    </cacheField>
    <cacheField name="Today's date" numFmtId="14">
      <sharedItems count="1">
        <s v="2026-01-09"/>
      </sharedItems>
    </cacheField>
    <cacheField name="Ag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x v="0"/>
    <x v="0"/>
    <x v="0"/>
    <x v="0"/>
    <n v="3"/>
    <n v="41"/>
    <n v="123"/>
    <x v="0"/>
    <x v="0"/>
    <x v="0"/>
    <n v="0"/>
  </r>
  <r>
    <n v="1002"/>
    <x v="1"/>
    <x v="1"/>
    <x v="1"/>
    <x v="1"/>
    <n v="4"/>
    <n v="383"/>
    <n v="1532"/>
    <x v="1"/>
    <x v="0"/>
    <x v="0"/>
    <n v="0"/>
  </r>
  <r>
    <n v="1003"/>
    <x v="2"/>
    <x v="1"/>
    <x v="2"/>
    <x v="1"/>
    <n v="5"/>
    <n v="212"/>
    <n v="1060"/>
    <x v="1"/>
    <x v="0"/>
    <x v="0"/>
    <n v="0"/>
  </r>
  <r>
    <n v="1004"/>
    <x v="3"/>
    <x v="2"/>
    <x v="3"/>
    <x v="0"/>
    <n v="4"/>
    <n v="22"/>
    <n v="88"/>
    <x v="1"/>
    <x v="0"/>
    <x v="0"/>
    <n v="0"/>
  </r>
  <r>
    <n v="1005"/>
    <x v="4"/>
    <x v="0"/>
    <x v="4"/>
    <x v="1"/>
    <n v="5"/>
    <n v="696"/>
    <n v="3480"/>
    <x v="0"/>
    <x v="0"/>
    <x v="0"/>
    <n v="0"/>
  </r>
  <r>
    <n v="1006"/>
    <x v="5"/>
    <x v="0"/>
    <x v="4"/>
    <x v="1"/>
    <n v="1"/>
    <n v="689"/>
    <n v="689"/>
    <x v="0"/>
    <x v="0"/>
    <x v="0"/>
    <n v="0"/>
  </r>
  <r>
    <n v="1007"/>
    <x v="6"/>
    <x v="1"/>
    <x v="5"/>
    <x v="1"/>
    <n v="2"/>
    <n v="322"/>
    <n v="644"/>
    <x v="2"/>
    <x v="0"/>
    <x v="0"/>
    <n v="0"/>
  </r>
  <r>
    <n v="1008"/>
    <x v="7"/>
    <x v="1"/>
    <x v="2"/>
    <x v="1"/>
    <n v="5"/>
    <n v="269"/>
    <n v="1345"/>
    <x v="2"/>
    <x v="0"/>
    <x v="0"/>
    <n v="0"/>
  </r>
  <r>
    <n v="1009"/>
    <x v="8"/>
    <x v="3"/>
    <x v="5"/>
    <x v="1"/>
    <n v="5"/>
    <n v="334"/>
    <n v="1670"/>
    <x v="3"/>
    <x v="0"/>
    <x v="0"/>
    <n v="1"/>
  </r>
  <r>
    <n v="1010"/>
    <x v="9"/>
    <x v="4"/>
    <x v="0"/>
    <x v="0"/>
    <n v="1"/>
    <n v="60"/>
    <n v="60"/>
    <x v="0"/>
    <x v="0"/>
    <x v="0"/>
    <n v="0"/>
  </r>
  <r>
    <n v="1011"/>
    <x v="10"/>
    <x v="4"/>
    <x v="4"/>
    <x v="1"/>
    <n v="5"/>
    <n v="678"/>
    <n v="3390"/>
    <x v="0"/>
    <x v="0"/>
    <x v="0"/>
    <n v="0"/>
  </r>
  <r>
    <n v="1012"/>
    <x v="11"/>
    <x v="5"/>
    <x v="6"/>
    <x v="0"/>
    <n v="1"/>
    <n v="15"/>
    <n v="15"/>
    <x v="0"/>
    <x v="0"/>
    <x v="0"/>
    <n v="1"/>
  </r>
  <r>
    <n v="1013"/>
    <x v="11"/>
    <x v="3"/>
    <x v="4"/>
    <x v="1"/>
    <n v="2"/>
    <n v="680"/>
    <n v="1360"/>
    <x v="0"/>
    <x v="0"/>
    <x v="0"/>
    <n v="1"/>
  </r>
  <r>
    <n v="1014"/>
    <x v="1"/>
    <x v="3"/>
    <x v="3"/>
    <x v="0"/>
    <n v="5"/>
    <n v="18"/>
    <n v="90"/>
    <x v="1"/>
    <x v="0"/>
    <x v="0"/>
    <n v="0"/>
  </r>
  <r>
    <n v="1015"/>
    <x v="12"/>
    <x v="4"/>
    <x v="2"/>
    <x v="1"/>
    <n v="1"/>
    <n v="216"/>
    <n v="216"/>
    <x v="1"/>
    <x v="0"/>
    <x v="0"/>
    <n v="0"/>
  </r>
  <r>
    <n v="1016"/>
    <x v="13"/>
    <x v="6"/>
    <x v="0"/>
    <x v="0"/>
    <n v="5"/>
    <n v="53"/>
    <n v="265"/>
    <x v="3"/>
    <x v="0"/>
    <x v="0"/>
    <n v="1"/>
  </r>
  <r>
    <n v="1017"/>
    <x v="14"/>
    <x v="6"/>
    <x v="6"/>
    <x v="0"/>
    <n v="1"/>
    <n v="18"/>
    <n v="18"/>
    <x v="3"/>
    <x v="0"/>
    <x v="0"/>
    <n v="0"/>
  </r>
  <r>
    <n v="1018"/>
    <x v="15"/>
    <x v="2"/>
    <x v="7"/>
    <x v="0"/>
    <n v="4"/>
    <n v="40"/>
    <n v="160"/>
    <x v="1"/>
    <x v="0"/>
    <x v="0"/>
    <n v="1"/>
  </r>
  <r>
    <n v="1019"/>
    <x v="7"/>
    <x v="6"/>
    <x v="3"/>
    <x v="0"/>
    <n v="5"/>
    <n v="22"/>
    <n v="110"/>
    <x v="3"/>
    <x v="0"/>
    <x v="0"/>
    <n v="0"/>
  </r>
  <r>
    <n v="1020"/>
    <x v="16"/>
    <x v="2"/>
    <x v="3"/>
    <x v="0"/>
    <n v="5"/>
    <n v="18"/>
    <n v="90"/>
    <x v="1"/>
    <x v="0"/>
    <x v="0"/>
    <n v="0"/>
  </r>
  <r>
    <n v="1021"/>
    <x v="17"/>
    <x v="7"/>
    <x v="0"/>
    <x v="0"/>
    <n v="5"/>
    <n v="49"/>
    <n v="245"/>
    <x v="2"/>
    <x v="0"/>
    <x v="0"/>
    <n v="0"/>
  </r>
  <r>
    <n v="1022"/>
    <x v="5"/>
    <x v="6"/>
    <x v="1"/>
    <x v="1"/>
    <n v="5"/>
    <n v="395"/>
    <n v="1975"/>
    <x v="1"/>
    <x v="0"/>
    <x v="0"/>
    <n v="0"/>
  </r>
  <r>
    <n v="1023"/>
    <x v="18"/>
    <x v="4"/>
    <x v="2"/>
    <x v="1"/>
    <n v="3"/>
    <n v="282"/>
    <n v="846"/>
    <x v="3"/>
    <x v="0"/>
    <x v="0"/>
    <n v="0"/>
  </r>
  <r>
    <n v="1024"/>
    <x v="19"/>
    <x v="0"/>
    <x v="3"/>
    <x v="0"/>
    <n v="1"/>
    <n v="23"/>
    <n v="23"/>
    <x v="1"/>
    <x v="0"/>
    <x v="0"/>
    <n v="1"/>
  </r>
  <r>
    <n v="1025"/>
    <x v="20"/>
    <x v="7"/>
    <x v="6"/>
    <x v="0"/>
    <n v="4"/>
    <n v="15"/>
    <n v="60"/>
    <x v="1"/>
    <x v="0"/>
    <x v="0"/>
    <n v="0"/>
  </r>
  <r>
    <n v="1026"/>
    <x v="21"/>
    <x v="1"/>
    <x v="2"/>
    <x v="1"/>
    <n v="4"/>
    <n v="227"/>
    <n v="908"/>
    <x v="0"/>
    <x v="0"/>
    <x v="0"/>
    <n v="0"/>
  </r>
  <r>
    <n v="1027"/>
    <x v="22"/>
    <x v="2"/>
    <x v="3"/>
    <x v="0"/>
    <n v="5"/>
    <n v="25"/>
    <n v="125"/>
    <x v="0"/>
    <x v="0"/>
    <x v="0"/>
    <n v="0"/>
  </r>
  <r>
    <n v="1028"/>
    <x v="23"/>
    <x v="0"/>
    <x v="1"/>
    <x v="1"/>
    <n v="4"/>
    <n v="394"/>
    <n v="1576"/>
    <x v="2"/>
    <x v="0"/>
    <x v="0"/>
    <n v="0"/>
  </r>
  <r>
    <n v="1029"/>
    <x v="24"/>
    <x v="6"/>
    <x v="3"/>
    <x v="0"/>
    <n v="4"/>
    <n v="17"/>
    <n v="68"/>
    <x v="3"/>
    <x v="0"/>
    <x v="0"/>
    <n v="1"/>
  </r>
  <r>
    <n v="1030"/>
    <x v="25"/>
    <x v="3"/>
    <x v="6"/>
    <x v="0"/>
    <n v="3"/>
    <n v="12"/>
    <n v="36"/>
    <x v="3"/>
    <x v="0"/>
    <x v="0"/>
    <n v="0"/>
  </r>
  <r>
    <n v="1031"/>
    <x v="26"/>
    <x v="6"/>
    <x v="2"/>
    <x v="1"/>
    <n v="5"/>
    <n v="251"/>
    <n v="1255"/>
    <x v="2"/>
    <x v="0"/>
    <x v="0"/>
    <n v="0"/>
  </r>
  <r>
    <n v="1032"/>
    <x v="10"/>
    <x v="6"/>
    <x v="6"/>
    <x v="0"/>
    <n v="5"/>
    <n v="17"/>
    <n v="85"/>
    <x v="0"/>
    <x v="0"/>
    <x v="0"/>
    <n v="0"/>
  </r>
  <r>
    <n v="1033"/>
    <x v="27"/>
    <x v="6"/>
    <x v="5"/>
    <x v="1"/>
    <n v="3"/>
    <n v="334"/>
    <n v="1002"/>
    <x v="2"/>
    <x v="0"/>
    <x v="0"/>
    <n v="0"/>
  </r>
  <r>
    <n v="1034"/>
    <x v="28"/>
    <x v="1"/>
    <x v="0"/>
    <x v="0"/>
    <n v="2"/>
    <n v="42"/>
    <n v="84"/>
    <x v="0"/>
    <x v="0"/>
    <x v="0"/>
    <n v="0"/>
  </r>
  <r>
    <n v="1035"/>
    <x v="29"/>
    <x v="7"/>
    <x v="1"/>
    <x v="1"/>
    <n v="4"/>
    <n v="443"/>
    <n v="1772"/>
    <x v="1"/>
    <x v="0"/>
    <x v="0"/>
    <n v="0"/>
  </r>
  <r>
    <n v="1036"/>
    <x v="30"/>
    <x v="5"/>
    <x v="3"/>
    <x v="0"/>
    <n v="3"/>
    <n v="24"/>
    <n v="72"/>
    <x v="3"/>
    <x v="0"/>
    <x v="0"/>
    <n v="0"/>
  </r>
  <r>
    <n v="1037"/>
    <x v="17"/>
    <x v="5"/>
    <x v="6"/>
    <x v="0"/>
    <n v="4"/>
    <n v="18"/>
    <n v="72"/>
    <x v="3"/>
    <x v="0"/>
    <x v="0"/>
    <n v="0"/>
  </r>
  <r>
    <n v="1038"/>
    <x v="31"/>
    <x v="6"/>
    <x v="7"/>
    <x v="0"/>
    <n v="3"/>
    <n v="49"/>
    <n v="147"/>
    <x v="1"/>
    <x v="0"/>
    <x v="0"/>
    <n v="0"/>
  </r>
  <r>
    <n v="1039"/>
    <x v="6"/>
    <x v="7"/>
    <x v="3"/>
    <x v="0"/>
    <n v="4"/>
    <n v="23"/>
    <n v="92"/>
    <x v="0"/>
    <x v="0"/>
    <x v="0"/>
    <n v="0"/>
  </r>
  <r>
    <n v="1040"/>
    <x v="26"/>
    <x v="7"/>
    <x v="6"/>
    <x v="0"/>
    <n v="1"/>
    <n v="14"/>
    <n v="14"/>
    <x v="2"/>
    <x v="0"/>
    <x v="0"/>
    <n v="0"/>
  </r>
  <r>
    <n v="1041"/>
    <x v="32"/>
    <x v="0"/>
    <x v="7"/>
    <x v="0"/>
    <n v="3"/>
    <n v="47"/>
    <n v="141"/>
    <x v="2"/>
    <x v="0"/>
    <x v="0"/>
    <n v="0"/>
  </r>
  <r>
    <n v="1042"/>
    <x v="33"/>
    <x v="3"/>
    <x v="7"/>
    <x v="0"/>
    <n v="5"/>
    <n v="31"/>
    <n v="155"/>
    <x v="0"/>
    <x v="0"/>
    <x v="0"/>
    <n v="0"/>
  </r>
  <r>
    <n v="1043"/>
    <x v="34"/>
    <x v="4"/>
    <x v="4"/>
    <x v="1"/>
    <n v="4"/>
    <n v="654"/>
    <n v="2616"/>
    <x v="1"/>
    <x v="0"/>
    <x v="0"/>
    <n v="0"/>
  </r>
  <r>
    <n v="1044"/>
    <x v="35"/>
    <x v="1"/>
    <x v="7"/>
    <x v="0"/>
    <n v="4"/>
    <n v="28"/>
    <n v="112"/>
    <x v="2"/>
    <x v="0"/>
    <x v="0"/>
    <n v="0"/>
  </r>
  <r>
    <n v="1045"/>
    <x v="0"/>
    <x v="0"/>
    <x v="7"/>
    <x v="0"/>
    <n v="4"/>
    <n v="50"/>
    <n v="200"/>
    <x v="1"/>
    <x v="0"/>
    <x v="0"/>
    <n v="0"/>
  </r>
  <r>
    <n v="1046"/>
    <x v="36"/>
    <x v="3"/>
    <x v="6"/>
    <x v="0"/>
    <n v="4"/>
    <n v="18"/>
    <n v="72"/>
    <x v="0"/>
    <x v="0"/>
    <x v="0"/>
    <n v="0"/>
  </r>
  <r>
    <n v="1047"/>
    <x v="0"/>
    <x v="2"/>
    <x v="2"/>
    <x v="1"/>
    <n v="5"/>
    <n v="248"/>
    <n v="1240"/>
    <x v="1"/>
    <x v="0"/>
    <x v="0"/>
    <n v="0"/>
  </r>
  <r>
    <n v="1048"/>
    <x v="12"/>
    <x v="3"/>
    <x v="7"/>
    <x v="0"/>
    <n v="1"/>
    <n v="29"/>
    <n v="29"/>
    <x v="2"/>
    <x v="0"/>
    <x v="0"/>
    <n v="0"/>
  </r>
  <r>
    <n v="1049"/>
    <x v="30"/>
    <x v="1"/>
    <x v="5"/>
    <x v="1"/>
    <n v="3"/>
    <n v="299"/>
    <n v="897"/>
    <x v="2"/>
    <x v="0"/>
    <x v="0"/>
    <n v="0"/>
  </r>
  <r>
    <n v="1050"/>
    <x v="37"/>
    <x v="5"/>
    <x v="7"/>
    <x v="0"/>
    <n v="5"/>
    <n v="29"/>
    <n v="145"/>
    <x v="1"/>
    <x v="0"/>
    <x v="0"/>
    <n v="1"/>
  </r>
  <r>
    <n v="1051"/>
    <x v="4"/>
    <x v="2"/>
    <x v="5"/>
    <x v="1"/>
    <n v="1"/>
    <n v="347"/>
    <n v="347"/>
    <x v="0"/>
    <x v="0"/>
    <x v="0"/>
    <n v="0"/>
  </r>
  <r>
    <n v="1052"/>
    <x v="19"/>
    <x v="5"/>
    <x v="5"/>
    <x v="1"/>
    <n v="5"/>
    <n v="349"/>
    <n v="1745"/>
    <x v="1"/>
    <x v="0"/>
    <x v="0"/>
    <n v="1"/>
  </r>
  <r>
    <n v="1053"/>
    <x v="11"/>
    <x v="3"/>
    <x v="1"/>
    <x v="1"/>
    <n v="4"/>
    <n v="406"/>
    <n v="1624"/>
    <x v="1"/>
    <x v="0"/>
    <x v="0"/>
    <n v="1"/>
  </r>
  <r>
    <n v="1054"/>
    <x v="8"/>
    <x v="5"/>
    <x v="0"/>
    <x v="0"/>
    <n v="5"/>
    <n v="42"/>
    <n v="210"/>
    <x v="0"/>
    <x v="0"/>
    <x v="0"/>
    <n v="1"/>
  </r>
  <r>
    <n v="1055"/>
    <x v="0"/>
    <x v="1"/>
    <x v="5"/>
    <x v="1"/>
    <n v="4"/>
    <n v="346"/>
    <n v="1384"/>
    <x v="1"/>
    <x v="0"/>
    <x v="0"/>
    <n v="0"/>
  </r>
  <r>
    <n v="1056"/>
    <x v="6"/>
    <x v="2"/>
    <x v="3"/>
    <x v="0"/>
    <n v="1"/>
    <n v="22"/>
    <n v="22"/>
    <x v="1"/>
    <x v="0"/>
    <x v="0"/>
    <n v="0"/>
  </r>
  <r>
    <n v="1057"/>
    <x v="37"/>
    <x v="4"/>
    <x v="7"/>
    <x v="0"/>
    <n v="2"/>
    <n v="33"/>
    <n v="66"/>
    <x v="3"/>
    <x v="0"/>
    <x v="0"/>
    <n v="1"/>
  </r>
  <r>
    <n v="1058"/>
    <x v="26"/>
    <x v="3"/>
    <x v="2"/>
    <x v="1"/>
    <n v="1"/>
    <n v="223"/>
    <n v="223"/>
    <x v="2"/>
    <x v="0"/>
    <x v="0"/>
    <n v="0"/>
  </r>
  <r>
    <n v="1059"/>
    <x v="6"/>
    <x v="3"/>
    <x v="3"/>
    <x v="0"/>
    <n v="4"/>
    <n v="20"/>
    <n v="80"/>
    <x v="0"/>
    <x v="0"/>
    <x v="0"/>
    <n v="0"/>
  </r>
  <r>
    <n v="1060"/>
    <x v="38"/>
    <x v="4"/>
    <x v="5"/>
    <x v="1"/>
    <n v="1"/>
    <n v="328"/>
    <n v="328"/>
    <x v="1"/>
    <x v="0"/>
    <x v="0"/>
    <n v="0"/>
  </r>
  <r>
    <n v="1061"/>
    <x v="27"/>
    <x v="4"/>
    <x v="3"/>
    <x v="0"/>
    <n v="4"/>
    <n v="25"/>
    <n v="100"/>
    <x v="1"/>
    <x v="0"/>
    <x v="0"/>
    <n v="0"/>
  </r>
  <r>
    <n v="1062"/>
    <x v="5"/>
    <x v="6"/>
    <x v="0"/>
    <x v="0"/>
    <n v="1"/>
    <n v="49"/>
    <n v="49"/>
    <x v="1"/>
    <x v="0"/>
    <x v="0"/>
    <n v="0"/>
  </r>
  <r>
    <n v="1063"/>
    <x v="39"/>
    <x v="7"/>
    <x v="5"/>
    <x v="1"/>
    <n v="3"/>
    <n v="321"/>
    <n v="963"/>
    <x v="0"/>
    <x v="0"/>
    <x v="0"/>
    <n v="1"/>
  </r>
  <r>
    <n v="1064"/>
    <x v="17"/>
    <x v="0"/>
    <x v="7"/>
    <x v="0"/>
    <n v="2"/>
    <n v="27"/>
    <n v="54"/>
    <x v="1"/>
    <x v="0"/>
    <x v="0"/>
    <n v="0"/>
  </r>
  <r>
    <n v="1065"/>
    <x v="10"/>
    <x v="5"/>
    <x v="1"/>
    <x v="1"/>
    <n v="2"/>
    <n v="404"/>
    <n v="808"/>
    <x v="1"/>
    <x v="0"/>
    <x v="0"/>
    <n v="0"/>
  </r>
  <r>
    <n v="1066"/>
    <x v="3"/>
    <x v="4"/>
    <x v="4"/>
    <x v="1"/>
    <n v="5"/>
    <n v="689"/>
    <n v="3445"/>
    <x v="1"/>
    <x v="0"/>
    <x v="0"/>
    <n v="0"/>
  </r>
  <r>
    <n v="1067"/>
    <x v="37"/>
    <x v="5"/>
    <x v="5"/>
    <x v="1"/>
    <n v="3"/>
    <n v="349"/>
    <n v="1047"/>
    <x v="1"/>
    <x v="0"/>
    <x v="0"/>
    <n v="1"/>
  </r>
  <r>
    <n v="1068"/>
    <x v="30"/>
    <x v="4"/>
    <x v="4"/>
    <x v="1"/>
    <n v="3"/>
    <n v="690"/>
    <n v="2070"/>
    <x v="3"/>
    <x v="0"/>
    <x v="0"/>
    <n v="0"/>
  </r>
  <r>
    <n v="1069"/>
    <x v="23"/>
    <x v="2"/>
    <x v="7"/>
    <x v="0"/>
    <n v="3"/>
    <n v="37"/>
    <n v="111"/>
    <x v="3"/>
    <x v="0"/>
    <x v="0"/>
    <n v="0"/>
  </r>
  <r>
    <n v="1070"/>
    <x v="20"/>
    <x v="4"/>
    <x v="5"/>
    <x v="1"/>
    <n v="2"/>
    <n v="336"/>
    <n v="672"/>
    <x v="0"/>
    <x v="0"/>
    <x v="0"/>
    <n v="0"/>
  </r>
  <r>
    <n v="1071"/>
    <x v="40"/>
    <x v="4"/>
    <x v="1"/>
    <x v="1"/>
    <n v="2"/>
    <n v="425"/>
    <n v="850"/>
    <x v="3"/>
    <x v="0"/>
    <x v="0"/>
    <n v="0"/>
  </r>
  <r>
    <n v="1072"/>
    <x v="7"/>
    <x v="1"/>
    <x v="7"/>
    <x v="0"/>
    <n v="3"/>
    <n v="45"/>
    <n v="135"/>
    <x v="1"/>
    <x v="0"/>
    <x v="0"/>
    <n v="0"/>
  </r>
  <r>
    <n v="1073"/>
    <x v="29"/>
    <x v="5"/>
    <x v="6"/>
    <x v="0"/>
    <n v="2"/>
    <n v="16"/>
    <n v="32"/>
    <x v="3"/>
    <x v="0"/>
    <x v="0"/>
    <n v="0"/>
  </r>
  <r>
    <n v="1074"/>
    <x v="20"/>
    <x v="4"/>
    <x v="0"/>
    <x v="0"/>
    <n v="2"/>
    <n v="60"/>
    <n v="120"/>
    <x v="2"/>
    <x v="0"/>
    <x v="0"/>
    <n v="0"/>
  </r>
  <r>
    <n v="1075"/>
    <x v="41"/>
    <x v="5"/>
    <x v="6"/>
    <x v="0"/>
    <n v="5"/>
    <n v="12"/>
    <n v="60"/>
    <x v="0"/>
    <x v="0"/>
    <x v="0"/>
    <n v="0"/>
  </r>
  <r>
    <n v="1076"/>
    <x v="42"/>
    <x v="0"/>
    <x v="1"/>
    <x v="1"/>
    <n v="5"/>
    <n v="387"/>
    <n v="1935"/>
    <x v="2"/>
    <x v="0"/>
    <x v="0"/>
    <n v="0"/>
  </r>
  <r>
    <n v="1077"/>
    <x v="32"/>
    <x v="0"/>
    <x v="4"/>
    <x v="1"/>
    <n v="2"/>
    <n v="651"/>
    <n v="1302"/>
    <x v="1"/>
    <x v="0"/>
    <x v="0"/>
    <n v="0"/>
  </r>
  <r>
    <n v="1078"/>
    <x v="43"/>
    <x v="5"/>
    <x v="7"/>
    <x v="0"/>
    <n v="2"/>
    <n v="47"/>
    <n v="94"/>
    <x v="2"/>
    <x v="0"/>
    <x v="0"/>
    <n v="0"/>
  </r>
  <r>
    <n v="1079"/>
    <x v="44"/>
    <x v="4"/>
    <x v="1"/>
    <x v="1"/>
    <n v="4"/>
    <n v="441"/>
    <n v="1764"/>
    <x v="0"/>
    <x v="0"/>
    <x v="0"/>
    <n v="0"/>
  </r>
  <r>
    <n v="1080"/>
    <x v="12"/>
    <x v="1"/>
    <x v="5"/>
    <x v="1"/>
    <n v="3"/>
    <n v="313"/>
    <n v="939"/>
    <x v="2"/>
    <x v="0"/>
    <x v="0"/>
    <n v="0"/>
  </r>
  <r>
    <n v="1081"/>
    <x v="3"/>
    <x v="2"/>
    <x v="3"/>
    <x v="0"/>
    <n v="3"/>
    <n v="23"/>
    <n v="69"/>
    <x v="3"/>
    <x v="0"/>
    <x v="0"/>
    <n v="0"/>
  </r>
  <r>
    <n v="1082"/>
    <x v="45"/>
    <x v="6"/>
    <x v="0"/>
    <x v="0"/>
    <n v="2"/>
    <n v="45"/>
    <n v="90"/>
    <x v="0"/>
    <x v="0"/>
    <x v="0"/>
    <n v="0"/>
  </r>
  <r>
    <n v="1083"/>
    <x v="46"/>
    <x v="2"/>
    <x v="0"/>
    <x v="0"/>
    <n v="4"/>
    <n v="52"/>
    <n v="208"/>
    <x v="3"/>
    <x v="0"/>
    <x v="0"/>
    <n v="0"/>
  </r>
  <r>
    <n v="1084"/>
    <x v="30"/>
    <x v="4"/>
    <x v="5"/>
    <x v="1"/>
    <n v="1"/>
    <n v="293"/>
    <n v="293"/>
    <x v="1"/>
    <x v="0"/>
    <x v="0"/>
    <n v="0"/>
  </r>
  <r>
    <n v="1085"/>
    <x v="47"/>
    <x v="7"/>
    <x v="1"/>
    <x v="1"/>
    <n v="1"/>
    <n v="437"/>
    <n v="437"/>
    <x v="0"/>
    <x v="0"/>
    <x v="0"/>
    <n v="0"/>
  </r>
  <r>
    <n v="1086"/>
    <x v="35"/>
    <x v="0"/>
    <x v="2"/>
    <x v="1"/>
    <n v="5"/>
    <n v="245"/>
    <n v="1225"/>
    <x v="2"/>
    <x v="0"/>
    <x v="0"/>
    <n v="0"/>
  </r>
  <r>
    <n v="1087"/>
    <x v="34"/>
    <x v="2"/>
    <x v="2"/>
    <x v="1"/>
    <n v="2"/>
    <n v="248"/>
    <n v="496"/>
    <x v="1"/>
    <x v="0"/>
    <x v="0"/>
    <n v="0"/>
  </r>
  <r>
    <n v="1088"/>
    <x v="23"/>
    <x v="5"/>
    <x v="5"/>
    <x v="1"/>
    <n v="3"/>
    <n v="347"/>
    <n v="1041"/>
    <x v="0"/>
    <x v="0"/>
    <x v="0"/>
    <n v="0"/>
  </r>
  <r>
    <n v="1089"/>
    <x v="24"/>
    <x v="0"/>
    <x v="5"/>
    <x v="1"/>
    <n v="5"/>
    <n v="344"/>
    <n v="1720"/>
    <x v="1"/>
    <x v="0"/>
    <x v="0"/>
    <n v="1"/>
  </r>
  <r>
    <n v="1090"/>
    <x v="27"/>
    <x v="0"/>
    <x v="5"/>
    <x v="1"/>
    <n v="2"/>
    <n v="281"/>
    <n v="562"/>
    <x v="1"/>
    <x v="0"/>
    <x v="0"/>
    <n v="0"/>
  </r>
  <r>
    <n v="1091"/>
    <x v="48"/>
    <x v="6"/>
    <x v="4"/>
    <x v="1"/>
    <n v="1"/>
    <n v="690"/>
    <n v="690"/>
    <x v="1"/>
    <x v="0"/>
    <x v="0"/>
    <n v="0"/>
  </r>
  <r>
    <n v="1092"/>
    <x v="9"/>
    <x v="2"/>
    <x v="2"/>
    <x v="1"/>
    <n v="5"/>
    <n v="277"/>
    <n v="1385"/>
    <x v="2"/>
    <x v="0"/>
    <x v="0"/>
    <n v="0"/>
  </r>
  <r>
    <n v="1093"/>
    <x v="25"/>
    <x v="3"/>
    <x v="6"/>
    <x v="0"/>
    <n v="4"/>
    <n v="16"/>
    <n v="64"/>
    <x v="2"/>
    <x v="0"/>
    <x v="0"/>
    <n v="0"/>
  </r>
  <r>
    <n v="1094"/>
    <x v="19"/>
    <x v="4"/>
    <x v="7"/>
    <x v="0"/>
    <n v="2"/>
    <n v="35"/>
    <n v="70"/>
    <x v="2"/>
    <x v="0"/>
    <x v="0"/>
    <n v="1"/>
  </r>
  <r>
    <n v="1095"/>
    <x v="18"/>
    <x v="6"/>
    <x v="0"/>
    <x v="0"/>
    <n v="5"/>
    <n v="42"/>
    <n v="210"/>
    <x v="3"/>
    <x v="0"/>
    <x v="0"/>
    <n v="0"/>
  </r>
  <r>
    <n v="1096"/>
    <x v="3"/>
    <x v="7"/>
    <x v="3"/>
    <x v="0"/>
    <n v="1"/>
    <n v="15"/>
    <n v="15"/>
    <x v="3"/>
    <x v="0"/>
    <x v="0"/>
    <n v="0"/>
  </r>
  <r>
    <n v="1097"/>
    <x v="40"/>
    <x v="3"/>
    <x v="6"/>
    <x v="0"/>
    <n v="2"/>
    <n v="13"/>
    <n v="26"/>
    <x v="3"/>
    <x v="0"/>
    <x v="0"/>
    <n v="0"/>
  </r>
  <r>
    <n v="1098"/>
    <x v="13"/>
    <x v="0"/>
    <x v="0"/>
    <x v="0"/>
    <n v="5"/>
    <n v="47"/>
    <n v="235"/>
    <x v="2"/>
    <x v="0"/>
    <x v="0"/>
    <n v="1"/>
  </r>
  <r>
    <n v="1099"/>
    <x v="49"/>
    <x v="7"/>
    <x v="5"/>
    <x v="1"/>
    <n v="3"/>
    <n v="334"/>
    <n v="1002"/>
    <x v="1"/>
    <x v="0"/>
    <x v="0"/>
    <n v="0"/>
  </r>
  <r>
    <n v="1100"/>
    <x v="14"/>
    <x v="3"/>
    <x v="6"/>
    <x v="0"/>
    <n v="2"/>
    <n v="17"/>
    <n v="34"/>
    <x v="3"/>
    <x v="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2BCAF-545D-4945-B711-2490649545D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egion">
  <location ref="V7:W12" firstHeaderRow="1" firstDataRow="1" firstDataCol="1"/>
  <pivotFields count="12">
    <pivotField showAll="0"/>
    <pivotField showAll="0"/>
    <pivotField showAll="0">
      <items count="9">
        <item x="6"/>
        <item x="3"/>
        <item x="2"/>
        <item x="1"/>
        <item x="7"/>
        <item x="5"/>
        <item x="4"/>
        <item x="0"/>
        <item t="default"/>
      </items>
    </pivotField>
    <pivotField showAll="0">
      <items count="9">
        <item x="3"/>
        <item x="0"/>
        <item x="7"/>
        <item x="4"/>
        <item x="2"/>
        <item x="5"/>
        <item x="6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52426-9847-457D-85C9-1EBE0319ADD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ustomers Name">
  <location ref="R7:S16" firstHeaderRow="1" firstDataRow="1" firstDataCol="1"/>
  <pivotFields count="12">
    <pivotField showAll="0"/>
    <pivotField showAll="0"/>
    <pivotField axis="axisRow" showAll="0">
      <items count="9">
        <item x="6"/>
        <item x="3"/>
        <item x="2"/>
        <item x="1"/>
        <item x="7"/>
        <item x="5"/>
        <item x="4"/>
        <item x="0"/>
        <item t="default"/>
      </items>
    </pivotField>
    <pivotField showAll="0">
      <items count="9">
        <item x="3"/>
        <item x="0"/>
        <item x="7"/>
        <item x="4"/>
        <item x="2"/>
        <item x="5"/>
        <item x="6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5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N7:O16" firstHeaderRow="1" firstDataRow="1" firstDataCol="1"/>
  <pivotFields count="12">
    <pivotField dataField="1" showAll="0"/>
    <pivotField showAll="0"/>
    <pivotField showAll="0"/>
    <pivotField axis="axisRow" showAll="0">
      <items count="9">
        <item x="3"/>
        <item x="0"/>
        <item x="7"/>
        <item x="4"/>
        <item x="2"/>
        <item x="5"/>
        <item x="6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OrderID" fld="0" baseField="0" baseItem="0"/>
  </dataFields>
  <chartFormats count="1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A9AD4-28CE-4C97-93B3-803D5A9A021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roduct">
  <location ref="AH7:AI16" firstHeaderRow="1" firstDataRow="1" firstDataCol="1"/>
  <pivotFields count="12">
    <pivotField showAll="0"/>
    <pivotField showAll="0">
      <items count="51">
        <item x="19"/>
        <item x="37"/>
        <item x="39"/>
        <item x="13"/>
        <item x="15"/>
        <item x="8"/>
        <item x="11"/>
        <item x="24"/>
        <item x="49"/>
        <item x="44"/>
        <item x="28"/>
        <item x="29"/>
        <item x="42"/>
        <item x="38"/>
        <item x="32"/>
        <item x="48"/>
        <item x="10"/>
        <item x="47"/>
        <item x="18"/>
        <item x="17"/>
        <item x="43"/>
        <item x="7"/>
        <item x="22"/>
        <item x="30"/>
        <item x="9"/>
        <item x="3"/>
        <item x="2"/>
        <item x="36"/>
        <item x="20"/>
        <item x="41"/>
        <item x="26"/>
        <item x="4"/>
        <item x="1"/>
        <item x="21"/>
        <item x="14"/>
        <item x="16"/>
        <item x="45"/>
        <item x="46"/>
        <item x="12"/>
        <item x="34"/>
        <item x="0"/>
        <item x="25"/>
        <item x="27"/>
        <item x="33"/>
        <item x="23"/>
        <item x="35"/>
        <item x="40"/>
        <item x="5"/>
        <item x="31"/>
        <item x="6"/>
        <item t="default"/>
      </items>
    </pivotField>
    <pivotField showAll="0">
      <items count="9">
        <item x="6"/>
        <item x="3"/>
        <item x="2"/>
        <item x="1"/>
        <item x="7"/>
        <item x="5"/>
        <item x="4"/>
        <item x="0"/>
        <item t="default"/>
      </items>
    </pivotField>
    <pivotField axis="axisRow" showAll="0">
      <items count="9">
        <item x="3"/>
        <item x="0"/>
        <item x="7"/>
        <item x="4"/>
        <item x="2"/>
        <item x="5"/>
        <item x="6"/>
        <item x="1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ategory" fld="4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4E9AB-E3BB-431A-82D3-C0707C846BC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">
  <location ref="AD7:AE16" firstHeaderRow="1" firstDataRow="1" firstDataCol="1"/>
  <pivotFields count="12">
    <pivotField dataField="1" showAll="0"/>
    <pivotField showAll="0">
      <items count="51">
        <item x="19"/>
        <item x="37"/>
        <item x="39"/>
        <item x="13"/>
        <item x="15"/>
        <item x="8"/>
        <item x="11"/>
        <item x="24"/>
        <item x="49"/>
        <item x="44"/>
        <item x="28"/>
        <item x="29"/>
        <item x="42"/>
        <item x="38"/>
        <item x="32"/>
        <item x="48"/>
        <item x="10"/>
        <item x="47"/>
        <item x="18"/>
        <item x="17"/>
        <item x="43"/>
        <item x="7"/>
        <item x="22"/>
        <item x="30"/>
        <item x="9"/>
        <item x="3"/>
        <item x="2"/>
        <item x="36"/>
        <item x="20"/>
        <item x="41"/>
        <item x="26"/>
        <item x="4"/>
        <item x="1"/>
        <item x="21"/>
        <item x="14"/>
        <item x="16"/>
        <item x="45"/>
        <item x="46"/>
        <item x="12"/>
        <item x="34"/>
        <item x="0"/>
        <item x="25"/>
        <item x="27"/>
        <item x="33"/>
        <item x="23"/>
        <item x="35"/>
        <item x="40"/>
        <item x="5"/>
        <item x="31"/>
        <item x="6"/>
        <item t="default"/>
      </items>
    </pivotField>
    <pivotField showAll="0">
      <items count="9">
        <item x="6"/>
        <item x="3"/>
        <item x="2"/>
        <item x="1"/>
        <item x="7"/>
        <item x="5"/>
        <item x="4"/>
        <item x="0"/>
        <item t="default"/>
      </items>
    </pivotField>
    <pivotField axis="axisRow" showAll="0">
      <items count="9">
        <item x="3"/>
        <item x="0"/>
        <item x="7"/>
        <item x="4"/>
        <item x="2"/>
        <item x="5"/>
        <item x="6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Order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48642-D56E-4218-BEB0-2674481EE24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ustomer Name">
  <location ref="Z7:AA16" firstHeaderRow="1" firstDataRow="1" firstDataCol="1"/>
  <pivotFields count="12">
    <pivotField showAll="0"/>
    <pivotField showAll="0">
      <items count="51">
        <item x="19"/>
        <item x="37"/>
        <item x="39"/>
        <item x="13"/>
        <item x="15"/>
        <item x="8"/>
        <item x="11"/>
        <item x="24"/>
        <item x="49"/>
        <item x="44"/>
        <item x="28"/>
        <item x="29"/>
        <item x="42"/>
        <item x="38"/>
        <item x="32"/>
        <item x="48"/>
        <item x="10"/>
        <item x="47"/>
        <item x="18"/>
        <item x="17"/>
        <item x="43"/>
        <item x="7"/>
        <item x="22"/>
        <item x="30"/>
        <item x="9"/>
        <item x="3"/>
        <item x="2"/>
        <item x="36"/>
        <item x="20"/>
        <item x="41"/>
        <item x="26"/>
        <item x="4"/>
        <item x="1"/>
        <item x="21"/>
        <item x="14"/>
        <item x="16"/>
        <item x="45"/>
        <item x="46"/>
        <item x="12"/>
        <item x="34"/>
        <item x="0"/>
        <item x="25"/>
        <item x="27"/>
        <item x="33"/>
        <item x="23"/>
        <item x="35"/>
        <item x="40"/>
        <item x="5"/>
        <item x="31"/>
        <item x="6"/>
        <item t="default"/>
      </items>
    </pivotField>
    <pivotField axis="axisRow" showAll="0">
      <items count="9">
        <item x="6"/>
        <item x="3"/>
        <item x="2"/>
        <item x="1"/>
        <item x="7"/>
        <item x="5"/>
        <item x="4"/>
        <item x="0"/>
        <item t="default"/>
      </items>
    </pivotField>
    <pivotField showAll="0">
      <items count="9">
        <item x="3"/>
        <item x="0"/>
        <item x="7"/>
        <item x="4"/>
        <item x="2"/>
        <item x="5"/>
        <item x="6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" fld="7" baseField="0" baseItem="0"/>
  </dataFields>
  <chartFormats count="1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02" totalsRowCount="1" headerRowDxfId="9" headerRowBorderDxfId="8" tableBorderDxfId="7">
  <autoFilter ref="A1:L101" xr:uid="{00000000-0009-0000-0100-000001000000}"/>
  <tableColumns count="12">
    <tableColumn id="1" xr3:uid="{00000000-0010-0000-0000-000001000000}" name="OrderID"/>
    <tableColumn id="2" xr3:uid="{00000000-0010-0000-0000-000002000000}" name="Date"/>
    <tableColumn id="3" xr3:uid="{00000000-0010-0000-0000-000003000000}" name="Customer"/>
    <tableColumn id="4" xr3:uid="{00000000-0010-0000-0000-000004000000}" name="Product"/>
    <tableColumn id="5" xr3:uid="{00000000-0010-0000-0000-000005000000}" name="Category"/>
    <tableColumn id="6" xr3:uid="{00000000-0010-0000-0000-000006000000}" name="Quantity" totalsRowFunction="sum"/>
    <tableColumn id="7" xr3:uid="{00000000-0010-0000-0000-000007000000}" name="Unit Price" totalsRowFunction="sum"/>
    <tableColumn id="8" xr3:uid="{00000000-0010-0000-0000-000008000000}" name="Total" totalsRowFunction="sum"/>
    <tableColumn id="9" xr3:uid="{00000000-0010-0000-0000-000009000000}" name="Region"/>
    <tableColumn id="10" xr3:uid="{00000000-0010-0000-0000-00000A000000}" name="Date by  Year" dataDxfId="6" totalsRowDxfId="5"/>
    <tableColumn id="11" xr3:uid="{00000000-0010-0000-0000-00000B000000}" name="Today's date" dataDxfId="4" totalsRowDxfId="3"/>
    <tableColumn id="12" xr3:uid="{00000000-0010-0000-0000-00000C000000}" name="Age" dataDxfId="2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06"/>
  <sheetViews>
    <sheetView tabSelected="1" topLeftCell="B1" zoomScale="62" zoomScaleNormal="62" workbookViewId="0">
      <selection activeCell="B31" sqref="B31"/>
    </sheetView>
  </sheetViews>
  <sheetFormatPr defaultColWidth="10" defaultRowHeight="15" x14ac:dyDescent="0.25"/>
  <cols>
    <col min="1" max="1" width="12.140625" bestFit="1" customWidth="1"/>
    <col min="2" max="2" width="10.140625" bestFit="1" customWidth="1"/>
    <col min="3" max="3" width="13.5703125" bestFit="1" customWidth="1"/>
    <col min="4" max="4" width="12" bestFit="1" customWidth="1"/>
    <col min="5" max="5" width="12.85546875" bestFit="1" customWidth="1"/>
    <col min="6" max="6" width="12.7109375" bestFit="1" customWidth="1"/>
    <col min="7" max="7" width="13.42578125" bestFit="1" customWidth="1"/>
    <col min="8" max="8" width="9.5703125" bestFit="1" customWidth="1"/>
    <col min="9" max="9" width="11" bestFit="1" customWidth="1"/>
    <col min="10" max="10" width="12.140625" customWidth="1"/>
    <col min="11" max="11" width="11.42578125" customWidth="1"/>
    <col min="12" max="12" width="8.42578125" bestFit="1" customWidth="1"/>
    <col min="14" max="14" width="12.42578125" bestFit="1" customWidth="1"/>
    <col min="15" max="15" width="13.85546875" bestFit="1" customWidth="1"/>
    <col min="18" max="18" width="18.42578125" customWidth="1"/>
    <col min="19" max="19" width="15.42578125" bestFit="1" customWidth="1"/>
    <col min="22" max="22" width="13.140625" bestFit="1" customWidth="1"/>
    <col min="23" max="23" width="15.42578125" bestFit="1" customWidth="1"/>
    <col min="26" max="26" width="17.42578125" customWidth="1"/>
    <col min="27" max="27" width="12" bestFit="1" customWidth="1"/>
    <col min="30" max="30" width="12.140625" bestFit="1" customWidth="1"/>
    <col min="31" max="31" width="14.7109375" bestFit="1" customWidth="1"/>
    <col min="32" max="32" width="15.42578125" bestFit="1" customWidth="1"/>
    <col min="34" max="34" width="12.140625" bestFit="1" customWidth="1"/>
    <col min="35" max="35" width="17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81</v>
      </c>
      <c r="K1" s="1" t="s">
        <v>82</v>
      </c>
      <c r="L1" s="1" t="s">
        <v>83</v>
      </c>
    </row>
    <row r="2" spans="1:35" x14ac:dyDescent="0.25">
      <c r="A2">
        <v>1001</v>
      </c>
      <c r="B2" t="s">
        <v>9</v>
      </c>
      <c r="C2" t="s">
        <v>59</v>
      </c>
      <c r="D2" t="s">
        <v>67</v>
      </c>
      <c r="E2" t="s">
        <v>75</v>
      </c>
      <c r="F2">
        <v>3</v>
      </c>
      <c r="G2">
        <v>41</v>
      </c>
      <c r="H2">
        <v>123</v>
      </c>
      <c r="I2" t="s">
        <v>77</v>
      </c>
      <c r="J2" t="s">
        <v>87</v>
      </c>
      <c r="K2" s="2" t="str">
        <f t="shared" ref="K2:K33" ca="1" si="0">TEXT(TODAY(),"yyyy-mm-dd")</f>
        <v>2026-10-07</v>
      </c>
      <c r="L2">
        <f ca="1">DATEDIF(B2,K2,"y")</f>
        <v>1</v>
      </c>
    </row>
    <row r="3" spans="1:35" x14ac:dyDescent="0.25">
      <c r="A3">
        <v>1002</v>
      </c>
      <c r="B3" t="s">
        <v>10</v>
      </c>
      <c r="C3" t="s">
        <v>60</v>
      </c>
      <c r="D3" t="s">
        <v>68</v>
      </c>
      <c r="E3" t="s">
        <v>76</v>
      </c>
      <c r="F3">
        <v>4</v>
      </c>
      <c r="G3">
        <v>383</v>
      </c>
      <c r="H3">
        <v>1532</v>
      </c>
      <c r="I3" t="s">
        <v>78</v>
      </c>
      <c r="J3" t="s">
        <v>87</v>
      </c>
      <c r="K3" s="2" t="str">
        <f t="shared" ca="1" si="0"/>
        <v>2026-10-07</v>
      </c>
      <c r="L3">
        <f t="shared" ref="L3:L66" ca="1" si="1">DATEDIF(B3,K3,"y")</f>
        <v>1</v>
      </c>
    </row>
    <row r="4" spans="1:35" x14ac:dyDescent="0.25">
      <c r="A4">
        <v>1003</v>
      </c>
      <c r="B4" t="s">
        <v>11</v>
      </c>
      <c r="C4" t="s">
        <v>60</v>
      </c>
      <c r="D4" t="s">
        <v>69</v>
      </c>
      <c r="E4" t="s">
        <v>76</v>
      </c>
      <c r="F4">
        <v>5</v>
      </c>
      <c r="G4">
        <v>212</v>
      </c>
      <c r="H4">
        <v>1060</v>
      </c>
      <c r="I4" t="s">
        <v>78</v>
      </c>
      <c r="J4" t="s">
        <v>87</v>
      </c>
      <c r="K4" s="2" t="str">
        <f t="shared" ca="1" si="0"/>
        <v>2026-10-07</v>
      </c>
      <c r="L4">
        <f t="shared" ca="1" si="1"/>
        <v>1</v>
      </c>
    </row>
    <row r="5" spans="1:35" x14ac:dyDescent="0.25">
      <c r="A5">
        <v>1004</v>
      </c>
      <c r="B5" t="s">
        <v>12</v>
      </c>
      <c r="C5" t="s">
        <v>61</v>
      </c>
      <c r="D5" t="s">
        <v>70</v>
      </c>
      <c r="E5" t="s">
        <v>75</v>
      </c>
      <c r="F5">
        <v>4</v>
      </c>
      <c r="G5">
        <v>22</v>
      </c>
      <c r="H5">
        <v>88</v>
      </c>
      <c r="I5" t="s">
        <v>78</v>
      </c>
      <c r="J5" t="s">
        <v>87</v>
      </c>
      <c r="K5" s="2" t="str">
        <f t="shared" ca="1" si="0"/>
        <v>2026-10-07</v>
      </c>
      <c r="L5">
        <f t="shared" ca="1" si="1"/>
        <v>1</v>
      </c>
    </row>
    <row r="6" spans="1:35" x14ac:dyDescent="0.25">
      <c r="A6">
        <v>1005</v>
      </c>
      <c r="B6" t="s">
        <v>13</v>
      </c>
      <c r="C6" t="s">
        <v>59</v>
      </c>
      <c r="D6" t="s">
        <v>71</v>
      </c>
      <c r="E6" t="s">
        <v>76</v>
      </c>
      <c r="F6">
        <v>5</v>
      </c>
      <c r="G6">
        <v>696</v>
      </c>
      <c r="H6">
        <v>3480</v>
      </c>
      <c r="I6" t="s">
        <v>77</v>
      </c>
      <c r="J6" t="s">
        <v>87</v>
      </c>
      <c r="K6" s="2" t="str">
        <f t="shared" ca="1" si="0"/>
        <v>2026-10-07</v>
      </c>
      <c r="L6">
        <f t="shared" ca="1" si="1"/>
        <v>1</v>
      </c>
    </row>
    <row r="7" spans="1:35" x14ac:dyDescent="0.25">
      <c r="A7">
        <v>1006</v>
      </c>
      <c r="B7" t="s">
        <v>14</v>
      </c>
      <c r="C7" t="s">
        <v>59</v>
      </c>
      <c r="D7" t="s">
        <v>71</v>
      </c>
      <c r="E7" t="s">
        <v>76</v>
      </c>
      <c r="F7">
        <v>1</v>
      </c>
      <c r="G7">
        <v>689</v>
      </c>
      <c r="H7">
        <v>689</v>
      </c>
      <c r="I7" t="s">
        <v>77</v>
      </c>
      <c r="J7" t="s">
        <v>87</v>
      </c>
      <c r="K7" s="2" t="str">
        <f t="shared" ca="1" si="0"/>
        <v>2026-10-07</v>
      </c>
      <c r="L7">
        <f t="shared" ca="1" si="1"/>
        <v>1</v>
      </c>
      <c r="N7" s="3" t="s">
        <v>85</v>
      </c>
      <c r="O7" t="s">
        <v>84</v>
      </c>
      <c r="R7" s="8" t="s">
        <v>89</v>
      </c>
      <c r="S7" t="s">
        <v>88</v>
      </c>
      <c r="V7" s="8" t="s">
        <v>8</v>
      </c>
      <c r="W7" t="s">
        <v>88</v>
      </c>
      <c r="Z7" s="8" t="s">
        <v>91</v>
      </c>
      <c r="AA7" t="s">
        <v>90</v>
      </c>
      <c r="AD7" s="8" t="s">
        <v>3</v>
      </c>
      <c r="AE7" t="s">
        <v>84</v>
      </c>
      <c r="AH7" s="8" t="s">
        <v>3</v>
      </c>
      <c r="AI7" t="s">
        <v>92</v>
      </c>
    </row>
    <row r="8" spans="1:35" x14ac:dyDescent="0.25">
      <c r="A8">
        <v>1007</v>
      </c>
      <c r="B8" t="s">
        <v>15</v>
      </c>
      <c r="C8" t="s">
        <v>60</v>
      </c>
      <c r="D8" t="s">
        <v>72</v>
      </c>
      <c r="E8" t="s">
        <v>76</v>
      </c>
      <c r="F8">
        <v>2</v>
      </c>
      <c r="G8">
        <v>322</v>
      </c>
      <c r="H8">
        <v>644</v>
      </c>
      <c r="I8" t="s">
        <v>79</v>
      </c>
      <c r="J8" t="s">
        <v>87</v>
      </c>
      <c r="K8" s="2" t="str">
        <f t="shared" ca="1" si="0"/>
        <v>2026-10-07</v>
      </c>
      <c r="L8">
        <f t="shared" ca="1" si="1"/>
        <v>1</v>
      </c>
      <c r="N8" s="4" t="s">
        <v>70</v>
      </c>
      <c r="O8" s="3">
        <v>14565</v>
      </c>
      <c r="R8" s="9" t="s">
        <v>65</v>
      </c>
      <c r="S8">
        <v>45</v>
      </c>
      <c r="V8" s="9" t="s">
        <v>77</v>
      </c>
      <c r="W8">
        <v>77</v>
      </c>
      <c r="Z8" s="9" t="s">
        <v>65</v>
      </c>
      <c r="AA8">
        <v>5964</v>
      </c>
      <c r="AD8" s="9" t="s">
        <v>70</v>
      </c>
      <c r="AE8">
        <v>14565</v>
      </c>
      <c r="AH8" s="9" t="s">
        <v>70</v>
      </c>
      <c r="AI8">
        <v>14</v>
      </c>
    </row>
    <row r="9" spans="1:35" x14ac:dyDescent="0.25">
      <c r="A9">
        <v>1008</v>
      </c>
      <c r="B9" t="s">
        <v>16</v>
      </c>
      <c r="C9" t="s">
        <v>60</v>
      </c>
      <c r="D9" t="s">
        <v>69</v>
      </c>
      <c r="E9" t="s">
        <v>76</v>
      </c>
      <c r="F9">
        <v>5</v>
      </c>
      <c r="G9">
        <v>269</v>
      </c>
      <c r="H9">
        <v>1345</v>
      </c>
      <c r="I9" t="s">
        <v>79</v>
      </c>
      <c r="J9" t="s">
        <v>87</v>
      </c>
      <c r="K9" s="2" t="str">
        <f t="shared" ca="1" si="0"/>
        <v>2026-10-07</v>
      </c>
      <c r="L9">
        <f t="shared" ca="1" si="1"/>
        <v>1</v>
      </c>
      <c r="N9" s="4" t="s">
        <v>67</v>
      </c>
      <c r="O9" s="3">
        <v>12630</v>
      </c>
      <c r="R9" s="9" t="s">
        <v>62</v>
      </c>
      <c r="S9">
        <v>42</v>
      </c>
      <c r="V9" s="9" t="s">
        <v>78</v>
      </c>
      <c r="W9">
        <v>114</v>
      </c>
      <c r="Z9" s="9" t="s">
        <v>62</v>
      </c>
      <c r="AA9">
        <v>5463</v>
      </c>
      <c r="AD9" s="9" t="s">
        <v>67</v>
      </c>
      <c r="AE9">
        <v>12630</v>
      </c>
      <c r="AH9" s="9" t="s">
        <v>67</v>
      </c>
      <c r="AI9">
        <v>12</v>
      </c>
    </row>
    <row r="10" spans="1:35" x14ac:dyDescent="0.25">
      <c r="A10">
        <v>1009</v>
      </c>
      <c r="B10" t="s">
        <v>17</v>
      </c>
      <c r="C10" t="s">
        <v>62</v>
      </c>
      <c r="D10" t="s">
        <v>72</v>
      </c>
      <c r="E10" t="s">
        <v>76</v>
      </c>
      <c r="F10">
        <v>5</v>
      </c>
      <c r="G10">
        <v>334</v>
      </c>
      <c r="H10">
        <v>1670</v>
      </c>
      <c r="I10" t="s">
        <v>80</v>
      </c>
      <c r="J10" t="s">
        <v>87</v>
      </c>
      <c r="K10" s="2" t="str">
        <f t="shared" ca="1" si="0"/>
        <v>2026-10-07</v>
      </c>
      <c r="L10">
        <f t="shared" ca="1" si="1"/>
        <v>1</v>
      </c>
      <c r="N10" s="4" t="s">
        <v>74</v>
      </c>
      <c r="O10" s="3">
        <v>14760</v>
      </c>
      <c r="R10" s="9" t="s">
        <v>61</v>
      </c>
      <c r="S10">
        <v>42</v>
      </c>
      <c r="V10" s="9" t="s">
        <v>80</v>
      </c>
      <c r="W10">
        <v>62</v>
      </c>
      <c r="Z10" s="9" t="s">
        <v>61</v>
      </c>
      <c r="AA10">
        <v>4341</v>
      </c>
      <c r="AD10" s="9" t="s">
        <v>74</v>
      </c>
      <c r="AE10">
        <v>14760</v>
      </c>
      <c r="AH10" s="9" t="s">
        <v>74</v>
      </c>
      <c r="AI10">
        <v>14</v>
      </c>
    </row>
    <row r="11" spans="1:35" x14ac:dyDescent="0.25">
      <c r="A11">
        <v>1010</v>
      </c>
      <c r="B11" t="s">
        <v>18</v>
      </c>
      <c r="C11" t="s">
        <v>63</v>
      </c>
      <c r="D11" t="s">
        <v>67</v>
      </c>
      <c r="E11" t="s">
        <v>75</v>
      </c>
      <c r="F11">
        <v>1</v>
      </c>
      <c r="G11">
        <v>60</v>
      </c>
      <c r="H11">
        <v>60</v>
      </c>
      <c r="I11" t="s">
        <v>77</v>
      </c>
      <c r="J11" t="s">
        <v>87</v>
      </c>
      <c r="K11" s="2" t="str">
        <f t="shared" ca="1" si="0"/>
        <v>2026-10-07</v>
      </c>
      <c r="L11">
        <f t="shared" ca="1" si="1"/>
        <v>1</v>
      </c>
      <c r="N11" s="4" t="s">
        <v>71</v>
      </c>
      <c r="O11" s="3">
        <v>9380</v>
      </c>
      <c r="R11" s="9" t="s">
        <v>60</v>
      </c>
      <c r="S11">
        <v>39</v>
      </c>
      <c r="V11" s="9" t="s">
        <v>79</v>
      </c>
      <c r="W11">
        <v>70</v>
      </c>
      <c r="Z11" s="9" t="s">
        <v>60</v>
      </c>
      <c r="AA11">
        <v>9040</v>
      </c>
      <c r="AD11" s="9" t="s">
        <v>71</v>
      </c>
      <c r="AE11">
        <v>9380</v>
      </c>
      <c r="AH11" s="9" t="s">
        <v>71</v>
      </c>
      <c r="AI11">
        <v>9</v>
      </c>
    </row>
    <row r="12" spans="1:35" x14ac:dyDescent="0.25">
      <c r="A12">
        <v>1011</v>
      </c>
      <c r="B12" t="s">
        <v>19</v>
      </c>
      <c r="C12" t="s">
        <v>63</v>
      </c>
      <c r="D12" t="s">
        <v>71</v>
      </c>
      <c r="E12" t="s">
        <v>76</v>
      </c>
      <c r="F12">
        <v>5</v>
      </c>
      <c r="G12">
        <v>678</v>
      </c>
      <c r="H12">
        <v>3390</v>
      </c>
      <c r="I12" t="s">
        <v>77</v>
      </c>
      <c r="J12" t="s">
        <v>87</v>
      </c>
      <c r="K12" s="2" t="str">
        <f t="shared" ca="1" si="0"/>
        <v>2026-10-07</v>
      </c>
      <c r="L12">
        <f t="shared" ca="1" si="1"/>
        <v>1</v>
      </c>
      <c r="N12" s="4" t="s">
        <v>69</v>
      </c>
      <c r="O12" s="3">
        <v>11476</v>
      </c>
      <c r="R12" s="9" t="s">
        <v>66</v>
      </c>
      <c r="S12">
        <v>26</v>
      </c>
      <c r="V12" s="9" t="s">
        <v>86</v>
      </c>
      <c r="W12">
        <v>323</v>
      </c>
      <c r="Z12" s="9" t="s">
        <v>66</v>
      </c>
      <c r="AA12">
        <v>4600</v>
      </c>
      <c r="AD12" s="9" t="s">
        <v>69</v>
      </c>
      <c r="AE12">
        <v>11476</v>
      </c>
      <c r="AH12" s="9" t="s">
        <v>69</v>
      </c>
      <c r="AI12">
        <v>11</v>
      </c>
    </row>
    <row r="13" spans="1:35" x14ac:dyDescent="0.25">
      <c r="A13">
        <v>1012</v>
      </c>
      <c r="B13" t="s">
        <v>20</v>
      </c>
      <c r="C13" t="s">
        <v>64</v>
      </c>
      <c r="D13" t="s">
        <v>73</v>
      </c>
      <c r="E13" t="s">
        <v>75</v>
      </c>
      <c r="F13">
        <v>1</v>
      </c>
      <c r="G13">
        <v>15</v>
      </c>
      <c r="H13">
        <v>15</v>
      </c>
      <c r="I13" t="s">
        <v>77</v>
      </c>
      <c r="J13" t="s">
        <v>87</v>
      </c>
      <c r="K13" s="2" t="str">
        <f t="shared" ca="1" si="0"/>
        <v>2026-10-07</v>
      </c>
      <c r="L13">
        <f t="shared" ca="1" si="1"/>
        <v>1</v>
      </c>
      <c r="N13" s="4" t="s">
        <v>72</v>
      </c>
      <c r="O13" s="3">
        <v>18046</v>
      </c>
      <c r="R13" s="9" t="s">
        <v>64</v>
      </c>
      <c r="S13">
        <v>40</v>
      </c>
      <c r="Z13" s="9" t="s">
        <v>64</v>
      </c>
      <c r="AA13">
        <v>5341</v>
      </c>
      <c r="AD13" s="9" t="s">
        <v>72</v>
      </c>
      <c r="AE13">
        <v>18046</v>
      </c>
      <c r="AH13" s="9" t="s">
        <v>72</v>
      </c>
      <c r="AI13">
        <v>17</v>
      </c>
    </row>
    <row r="14" spans="1:35" x14ac:dyDescent="0.25">
      <c r="A14">
        <v>1013</v>
      </c>
      <c r="B14" t="s">
        <v>20</v>
      </c>
      <c r="C14" t="s">
        <v>62</v>
      </c>
      <c r="D14" t="s">
        <v>71</v>
      </c>
      <c r="E14" t="s">
        <v>76</v>
      </c>
      <c r="F14">
        <v>2</v>
      </c>
      <c r="G14">
        <v>680</v>
      </c>
      <c r="H14">
        <v>1360</v>
      </c>
      <c r="I14" t="s">
        <v>77</v>
      </c>
      <c r="J14" t="s">
        <v>87</v>
      </c>
      <c r="K14" s="2" t="str">
        <f t="shared" ca="1" si="0"/>
        <v>2026-10-07</v>
      </c>
      <c r="L14">
        <f t="shared" ca="1" si="1"/>
        <v>1</v>
      </c>
      <c r="N14" s="4" t="s">
        <v>73</v>
      </c>
      <c r="O14" s="3">
        <v>13677</v>
      </c>
      <c r="R14" s="9" t="s">
        <v>63</v>
      </c>
      <c r="S14">
        <v>42</v>
      </c>
      <c r="Z14" s="9" t="s">
        <v>63</v>
      </c>
      <c r="AA14">
        <v>16906</v>
      </c>
      <c r="AD14" s="9" t="s">
        <v>73</v>
      </c>
      <c r="AE14">
        <v>13677</v>
      </c>
      <c r="AH14" s="9" t="s">
        <v>73</v>
      </c>
      <c r="AI14">
        <v>13</v>
      </c>
    </row>
    <row r="15" spans="1:35" x14ac:dyDescent="0.25">
      <c r="A15">
        <v>1014</v>
      </c>
      <c r="B15" t="s">
        <v>10</v>
      </c>
      <c r="C15" t="s">
        <v>62</v>
      </c>
      <c r="D15" t="s">
        <v>70</v>
      </c>
      <c r="E15" t="s">
        <v>75</v>
      </c>
      <c r="F15">
        <v>5</v>
      </c>
      <c r="G15">
        <v>18</v>
      </c>
      <c r="H15">
        <v>90</v>
      </c>
      <c r="I15" t="s">
        <v>78</v>
      </c>
      <c r="J15" t="s">
        <v>87</v>
      </c>
      <c r="K15" s="2" t="str">
        <f t="shared" ca="1" si="0"/>
        <v>2026-10-07</v>
      </c>
      <c r="L15">
        <f t="shared" ca="1" si="1"/>
        <v>1</v>
      </c>
      <c r="N15" s="4" t="s">
        <v>68</v>
      </c>
      <c r="O15" s="3">
        <v>10516</v>
      </c>
      <c r="R15" s="9" t="s">
        <v>59</v>
      </c>
      <c r="S15">
        <v>47</v>
      </c>
      <c r="Z15" s="9" t="s">
        <v>59</v>
      </c>
      <c r="AA15">
        <v>13265</v>
      </c>
      <c r="AD15" s="9" t="s">
        <v>68</v>
      </c>
      <c r="AE15">
        <v>10516</v>
      </c>
      <c r="AH15" s="9" t="s">
        <v>68</v>
      </c>
      <c r="AI15">
        <v>10</v>
      </c>
    </row>
    <row r="16" spans="1:35" x14ac:dyDescent="0.25">
      <c r="A16">
        <v>1015</v>
      </c>
      <c r="B16" t="s">
        <v>21</v>
      </c>
      <c r="C16" t="s">
        <v>63</v>
      </c>
      <c r="D16" t="s">
        <v>69</v>
      </c>
      <c r="E16" t="s">
        <v>76</v>
      </c>
      <c r="F16">
        <v>1</v>
      </c>
      <c r="G16">
        <v>216</v>
      </c>
      <c r="H16">
        <v>216</v>
      </c>
      <c r="I16" t="s">
        <v>78</v>
      </c>
      <c r="J16" t="s">
        <v>87</v>
      </c>
      <c r="K16" s="2" t="str">
        <f t="shared" ca="1" si="0"/>
        <v>2026-10-07</v>
      </c>
      <c r="L16">
        <f t="shared" ca="1" si="1"/>
        <v>1</v>
      </c>
      <c r="N16" s="4" t="s">
        <v>86</v>
      </c>
      <c r="O16" s="3">
        <v>105050</v>
      </c>
      <c r="R16" s="9" t="s">
        <v>86</v>
      </c>
      <c r="S16">
        <v>323</v>
      </c>
      <c r="Z16" s="9" t="s">
        <v>86</v>
      </c>
      <c r="AA16">
        <v>64920</v>
      </c>
      <c r="AD16" s="9" t="s">
        <v>86</v>
      </c>
      <c r="AE16">
        <v>105050</v>
      </c>
      <c r="AH16" s="9" t="s">
        <v>86</v>
      </c>
      <c r="AI16">
        <v>100</v>
      </c>
    </row>
    <row r="17" spans="1:12" x14ac:dyDescent="0.25">
      <c r="A17">
        <v>1016</v>
      </c>
      <c r="B17" t="s">
        <v>22</v>
      </c>
      <c r="C17" t="s">
        <v>65</v>
      </c>
      <c r="D17" t="s">
        <v>67</v>
      </c>
      <c r="E17" t="s">
        <v>75</v>
      </c>
      <c r="F17">
        <v>5</v>
      </c>
      <c r="G17">
        <v>53</v>
      </c>
      <c r="H17">
        <v>265</v>
      </c>
      <c r="I17" t="s">
        <v>80</v>
      </c>
      <c r="J17" t="s">
        <v>87</v>
      </c>
      <c r="K17" s="2" t="str">
        <f t="shared" ca="1" si="0"/>
        <v>2026-10-07</v>
      </c>
      <c r="L17">
        <f t="shared" ca="1" si="1"/>
        <v>1</v>
      </c>
    </row>
    <row r="18" spans="1:12" x14ac:dyDescent="0.25">
      <c r="A18">
        <v>1017</v>
      </c>
      <c r="B18" t="s">
        <v>23</v>
      </c>
      <c r="C18" t="s">
        <v>65</v>
      </c>
      <c r="D18" t="s">
        <v>73</v>
      </c>
      <c r="E18" t="s">
        <v>75</v>
      </c>
      <c r="F18">
        <v>1</v>
      </c>
      <c r="G18">
        <v>18</v>
      </c>
      <c r="H18">
        <v>18</v>
      </c>
      <c r="I18" t="s">
        <v>80</v>
      </c>
      <c r="J18" t="s">
        <v>87</v>
      </c>
      <c r="K18" s="2" t="str">
        <f t="shared" ca="1" si="0"/>
        <v>2026-10-07</v>
      </c>
      <c r="L18">
        <f t="shared" ca="1" si="1"/>
        <v>1</v>
      </c>
    </row>
    <row r="19" spans="1:12" x14ac:dyDescent="0.25">
      <c r="A19">
        <v>1018</v>
      </c>
      <c r="B19" t="s">
        <v>24</v>
      </c>
      <c r="C19" t="s">
        <v>61</v>
      </c>
      <c r="D19" t="s">
        <v>74</v>
      </c>
      <c r="E19" t="s">
        <v>75</v>
      </c>
      <c r="F19">
        <v>4</v>
      </c>
      <c r="G19">
        <v>40</v>
      </c>
      <c r="H19">
        <v>160</v>
      </c>
      <c r="I19" t="s">
        <v>78</v>
      </c>
      <c r="J19" t="s">
        <v>87</v>
      </c>
      <c r="K19" s="2" t="str">
        <f t="shared" ca="1" si="0"/>
        <v>2026-10-07</v>
      </c>
      <c r="L19">
        <f t="shared" ca="1" si="1"/>
        <v>1</v>
      </c>
    </row>
    <row r="20" spans="1:12" x14ac:dyDescent="0.25">
      <c r="A20">
        <v>1019</v>
      </c>
      <c r="B20" t="s">
        <v>16</v>
      </c>
      <c r="C20" t="s">
        <v>65</v>
      </c>
      <c r="D20" t="s">
        <v>70</v>
      </c>
      <c r="E20" t="s">
        <v>75</v>
      </c>
      <c r="F20">
        <v>5</v>
      </c>
      <c r="G20">
        <v>22</v>
      </c>
      <c r="H20">
        <v>110</v>
      </c>
      <c r="I20" t="s">
        <v>80</v>
      </c>
      <c r="J20" t="s">
        <v>87</v>
      </c>
      <c r="K20" s="2" t="str">
        <f t="shared" ca="1" si="0"/>
        <v>2026-10-07</v>
      </c>
      <c r="L20">
        <f t="shared" ca="1" si="1"/>
        <v>1</v>
      </c>
    </row>
    <row r="21" spans="1:12" x14ac:dyDescent="0.25">
      <c r="A21">
        <v>1020</v>
      </c>
      <c r="B21" t="s">
        <v>25</v>
      </c>
      <c r="C21" t="s">
        <v>61</v>
      </c>
      <c r="D21" t="s">
        <v>70</v>
      </c>
      <c r="E21" t="s">
        <v>75</v>
      </c>
      <c r="F21">
        <v>5</v>
      </c>
      <c r="G21">
        <v>18</v>
      </c>
      <c r="H21">
        <v>90</v>
      </c>
      <c r="I21" t="s">
        <v>78</v>
      </c>
      <c r="J21" t="s">
        <v>87</v>
      </c>
      <c r="K21" s="2" t="str">
        <f t="shared" ca="1" si="0"/>
        <v>2026-10-07</v>
      </c>
      <c r="L21">
        <f t="shared" ca="1" si="1"/>
        <v>1</v>
      </c>
    </row>
    <row r="22" spans="1:12" x14ac:dyDescent="0.25">
      <c r="A22">
        <v>1021</v>
      </c>
      <c r="B22" t="s">
        <v>26</v>
      </c>
      <c r="C22" t="s">
        <v>66</v>
      </c>
      <c r="D22" t="s">
        <v>67</v>
      </c>
      <c r="E22" t="s">
        <v>75</v>
      </c>
      <c r="F22">
        <v>5</v>
      </c>
      <c r="G22">
        <v>49</v>
      </c>
      <c r="H22">
        <v>245</v>
      </c>
      <c r="I22" t="s">
        <v>79</v>
      </c>
      <c r="J22" t="s">
        <v>87</v>
      </c>
      <c r="K22" s="2" t="str">
        <f t="shared" ca="1" si="0"/>
        <v>2026-10-07</v>
      </c>
      <c r="L22">
        <f t="shared" ca="1" si="1"/>
        <v>1</v>
      </c>
    </row>
    <row r="23" spans="1:12" x14ac:dyDescent="0.25">
      <c r="A23">
        <v>1022</v>
      </c>
      <c r="B23" t="s">
        <v>14</v>
      </c>
      <c r="C23" t="s">
        <v>65</v>
      </c>
      <c r="D23" t="s">
        <v>68</v>
      </c>
      <c r="E23" t="s">
        <v>76</v>
      </c>
      <c r="F23">
        <v>5</v>
      </c>
      <c r="G23">
        <v>395</v>
      </c>
      <c r="H23">
        <v>1975</v>
      </c>
      <c r="I23" t="s">
        <v>78</v>
      </c>
      <c r="J23" t="s">
        <v>87</v>
      </c>
      <c r="K23" s="2" t="str">
        <f t="shared" ca="1" si="0"/>
        <v>2026-10-07</v>
      </c>
      <c r="L23">
        <f t="shared" ca="1" si="1"/>
        <v>1</v>
      </c>
    </row>
    <row r="24" spans="1:12" x14ac:dyDescent="0.25">
      <c r="A24">
        <v>1023</v>
      </c>
      <c r="B24" t="s">
        <v>27</v>
      </c>
      <c r="C24" t="s">
        <v>63</v>
      </c>
      <c r="D24" t="s">
        <v>69</v>
      </c>
      <c r="E24" t="s">
        <v>76</v>
      </c>
      <c r="F24">
        <v>3</v>
      </c>
      <c r="G24">
        <v>282</v>
      </c>
      <c r="H24">
        <v>846</v>
      </c>
      <c r="I24" t="s">
        <v>80</v>
      </c>
      <c r="J24" t="s">
        <v>87</v>
      </c>
      <c r="K24" s="2" t="str">
        <f t="shared" ca="1" si="0"/>
        <v>2026-10-07</v>
      </c>
      <c r="L24">
        <f t="shared" ca="1" si="1"/>
        <v>1</v>
      </c>
    </row>
    <row r="25" spans="1:12" x14ac:dyDescent="0.25">
      <c r="A25">
        <v>1024</v>
      </c>
      <c r="B25" t="s">
        <v>28</v>
      </c>
      <c r="C25" t="s">
        <v>59</v>
      </c>
      <c r="D25" t="s">
        <v>70</v>
      </c>
      <c r="E25" t="s">
        <v>75</v>
      </c>
      <c r="F25">
        <v>1</v>
      </c>
      <c r="G25">
        <v>23</v>
      </c>
      <c r="H25">
        <v>23</v>
      </c>
      <c r="I25" t="s">
        <v>78</v>
      </c>
      <c r="J25" t="s">
        <v>87</v>
      </c>
      <c r="K25" s="2" t="str">
        <f t="shared" ca="1" si="0"/>
        <v>2026-10-07</v>
      </c>
      <c r="L25">
        <f t="shared" ca="1" si="1"/>
        <v>1</v>
      </c>
    </row>
    <row r="26" spans="1:12" x14ac:dyDescent="0.25">
      <c r="A26">
        <v>1025</v>
      </c>
      <c r="B26" t="s">
        <v>29</v>
      </c>
      <c r="C26" t="s">
        <v>66</v>
      </c>
      <c r="D26" t="s">
        <v>73</v>
      </c>
      <c r="E26" t="s">
        <v>75</v>
      </c>
      <c r="F26">
        <v>4</v>
      </c>
      <c r="G26">
        <v>15</v>
      </c>
      <c r="H26">
        <v>60</v>
      </c>
      <c r="I26" t="s">
        <v>78</v>
      </c>
      <c r="J26" t="s">
        <v>87</v>
      </c>
      <c r="K26" s="2" t="str">
        <f t="shared" ca="1" si="0"/>
        <v>2026-10-07</v>
      </c>
      <c r="L26">
        <f t="shared" ca="1" si="1"/>
        <v>1</v>
      </c>
    </row>
    <row r="27" spans="1:12" x14ac:dyDescent="0.25">
      <c r="A27">
        <v>1026</v>
      </c>
      <c r="B27" t="s">
        <v>30</v>
      </c>
      <c r="C27" t="s">
        <v>60</v>
      </c>
      <c r="D27" t="s">
        <v>69</v>
      </c>
      <c r="E27" t="s">
        <v>76</v>
      </c>
      <c r="F27">
        <v>4</v>
      </c>
      <c r="G27">
        <v>227</v>
      </c>
      <c r="H27">
        <v>908</v>
      </c>
      <c r="I27" t="s">
        <v>77</v>
      </c>
      <c r="J27" t="s">
        <v>87</v>
      </c>
      <c r="K27" s="2" t="str">
        <f t="shared" ca="1" si="0"/>
        <v>2026-10-07</v>
      </c>
      <c r="L27">
        <f t="shared" ca="1" si="1"/>
        <v>1</v>
      </c>
    </row>
    <row r="28" spans="1:12" x14ac:dyDescent="0.25">
      <c r="A28">
        <v>1027</v>
      </c>
      <c r="B28" t="s">
        <v>31</v>
      </c>
      <c r="C28" t="s">
        <v>61</v>
      </c>
      <c r="D28" t="s">
        <v>70</v>
      </c>
      <c r="E28" t="s">
        <v>75</v>
      </c>
      <c r="F28">
        <v>5</v>
      </c>
      <c r="G28">
        <v>25</v>
      </c>
      <c r="H28">
        <v>125</v>
      </c>
      <c r="I28" t="s">
        <v>77</v>
      </c>
      <c r="J28" t="s">
        <v>87</v>
      </c>
      <c r="K28" s="2" t="str">
        <f t="shared" ca="1" si="0"/>
        <v>2026-10-07</v>
      </c>
      <c r="L28">
        <f t="shared" ca="1" si="1"/>
        <v>1</v>
      </c>
    </row>
    <row r="29" spans="1:12" x14ac:dyDescent="0.25">
      <c r="A29">
        <v>1028</v>
      </c>
      <c r="B29" t="s">
        <v>32</v>
      </c>
      <c r="C29" t="s">
        <v>59</v>
      </c>
      <c r="D29" t="s">
        <v>68</v>
      </c>
      <c r="E29" t="s">
        <v>76</v>
      </c>
      <c r="F29">
        <v>4</v>
      </c>
      <c r="G29">
        <v>394</v>
      </c>
      <c r="H29">
        <v>1576</v>
      </c>
      <c r="I29" t="s">
        <v>79</v>
      </c>
      <c r="J29" t="s">
        <v>87</v>
      </c>
      <c r="K29" s="2" t="str">
        <f t="shared" ca="1" si="0"/>
        <v>2026-10-07</v>
      </c>
      <c r="L29">
        <f t="shared" ca="1" si="1"/>
        <v>1</v>
      </c>
    </row>
    <row r="30" spans="1:12" x14ac:dyDescent="0.25">
      <c r="A30">
        <v>1029</v>
      </c>
      <c r="B30" t="s">
        <v>33</v>
      </c>
      <c r="C30" t="s">
        <v>65</v>
      </c>
      <c r="D30" t="s">
        <v>70</v>
      </c>
      <c r="E30" t="s">
        <v>75</v>
      </c>
      <c r="F30">
        <v>4</v>
      </c>
      <c r="G30">
        <v>17</v>
      </c>
      <c r="H30">
        <v>68</v>
      </c>
      <c r="I30" t="s">
        <v>80</v>
      </c>
      <c r="J30" t="s">
        <v>87</v>
      </c>
      <c r="K30" s="2" t="str">
        <f t="shared" ca="1" si="0"/>
        <v>2026-10-07</v>
      </c>
      <c r="L30">
        <f t="shared" ca="1" si="1"/>
        <v>1</v>
      </c>
    </row>
    <row r="31" spans="1:12" x14ac:dyDescent="0.25">
      <c r="A31">
        <v>1030</v>
      </c>
      <c r="B31" t="s">
        <v>34</v>
      </c>
      <c r="C31" t="s">
        <v>62</v>
      </c>
      <c r="D31" t="s">
        <v>73</v>
      </c>
      <c r="E31" t="s">
        <v>75</v>
      </c>
      <c r="F31">
        <v>3</v>
      </c>
      <c r="G31">
        <v>12</v>
      </c>
      <c r="H31">
        <v>36</v>
      </c>
      <c r="I31" t="s">
        <v>80</v>
      </c>
      <c r="J31" t="s">
        <v>87</v>
      </c>
      <c r="K31" s="2" t="str">
        <f t="shared" ca="1" si="0"/>
        <v>2026-10-07</v>
      </c>
      <c r="L31">
        <f t="shared" ca="1" si="1"/>
        <v>1</v>
      </c>
    </row>
    <row r="32" spans="1:12" x14ac:dyDescent="0.25">
      <c r="A32">
        <v>1031</v>
      </c>
      <c r="B32" t="s">
        <v>35</v>
      </c>
      <c r="C32" t="s">
        <v>65</v>
      </c>
      <c r="D32" t="s">
        <v>69</v>
      </c>
      <c r="E32" t="s">
        <v>76</v>
      </c>
      <c r="F32">
        <v>5</v>
      </c>
      <c r="G32">
        <v>251</v>
      </c>
      <c r="H32">
        <v>1255</v>
      </c>
      <c r="I32" t="s">
        <v>79</v>
      </c>
      <c r="J32" t="s">
        <v>87</v>
      </c>
      <c r="K32" s="2" t="str">
        <f t="shared" ca="1" si="0"/>
        <v>2026-10-07</v>
      </c>
      <c r="L32">
        <f t="shared" ca="1" si="1"/>
        <v>1</v>
      </c>
    </row>
    <row r="33" spans="1:12" x14ac:dyDescent="0.25">
      <c r="A33">
        <v>1032</v>
      </c>
      <c r="B33" t="s">
        <v>19</v>
      </c>
      <c r="C33" t="s">
        <v>65</v>
      </c>
      <c r="D33" t="s">
        <v>73</v>
      </c>
      <c r="E33" t="s">
        <v>75</v>
      </c>
      <c r="F33">
        <v>5</v>
      </c>
      <c r="G33">
        <v>17</v>
      </c>
      <c r="H33">
        <v>85</v>
      </c>
      <c r="I33" t="s">
        <v>77</v>
      </c>
      <c r="J33" t="s">
        <v>87</v>
      </c>
      <c r="K33" s="2" t="str">
        <f t="shared" ca="1" si="0"/>
        <v>2026-10-07</v>
      </c>
      <c r="L33">
        <f t="shared" ca="1" si="1"/>
        <v>1</v>
      </c>
    </row>
    <row r="34" spans="1:12" x14ac:dyDescent="0.25">
      <c r="A34">
        <v>1033</v>
      </c>
      <c r="B34" t="s">
        <v>36</v>
      </c>
      <c r="C34" t="s">
        <v>65</v>
      </c>
      <c r="D34" t="s">
        <v>72</v>
      </c>
      <c r="E34" t="s">
        <v>76</v>
      </c>
      <c r="F34">
        <v>3</v>
      </c>
      <c r="G34">
        <v>334</v>
      </c>
      <c r="H34">
        <v>1002</v>
      </c>
      <c r="I34" t="s">
        <v>79</v>
      </c>
      <c r="J34" t="s">
        <v>87</v>
      </c>
      <c r="K34" s="2" t="str">
        <f t="shared" ref="K34:K65" ca="1" si="2">TEXT(TODAY(),"yyyy-mm-dd")</f>
        <v>2026-10-07</v>
      </c>
      <c r="L34">
        <f t="shared" ca="1" si="1"/>
        <v>1</v>
      </c>
    </row>
    <row r="35" spans="1:12" x14ac:dyDescent="0.25">
      <c r="A35">
        <v>1034</v>
      </c>
      <c r="B35" t="s">
        <v>37</v>
      </c>
      <c r="C35" t="s">
        <v>60</v>
      </c>
      <c r="D35" t="s">
        <v>67</v>
      </c>
      <c r="E35" t="s">
        <v>75</v>
      </c>
      <c r="F35">
        <v>2</v>
      </c>
      <c r="G35">
        <v>42</v>
      </c>
      <c r="H35">
        <v>84</v>
      </c>
      <c r="I35" t="s">
        <v>77</v>
      </c>
      <c r="J35" t="s">
        <v>87</v>
      </c>
      <c r="K35" s="2" t="str">
        <f t="shared" ca="1" si="2"/>
        <v>2026-10-07</v>
      </c>
      <c r="L35">
        <f t="shared" ca="1" si="1"/>
        <v>1</v>
      </c>
    </row>
    <row r="36" spans="1:12" x14ac:dyDescent="0.25">
      <c r="A36">
        <v>1035</v>
      </c>
      <c r="B36" t="s">
        <v>38</v>
      </c>
      <c r="C36" t="s">
        <v>66</v>
      </c>
      <c r="D36" t="s">
        <v>68</v>
      </c>
      <c r="E36" t="s">
        <v>76</v>
      </c>
      <c r="F36">
        <v>4</v>
      </c>
      <c r="G36">
        <v>443</v>
      </c>
      <c r="H36">
        <v>1772</v>
      </c>
      <c r="I36" t="s">
        <v>78</v>
      </c>
      <c r="J36" t="s">
        <v>87</v>
      </c>
      <c r="K36" s="2" t="str">
        <f t="shared" ca="1" si="2"/>
        <v>2026-10-07</v>
      </c>
      <c r="L36">
        <f t="shared" ca="1" si="1"/>
        <v>1</v>
      </c>
    </row>
    <row r="37" spans="1:12" x14ac:dyDescent="0.25">
      <c r="A37">
        <v>1036</v>
      </c>
      <c r="B37" t="s">
        <v>39</v>
      </c>
      <c r="C37" t="s">
        <v>64</v>
      </c>
      <c r="D37" t="s">
        <v>70</v>
      </c>
      <c r="E37" t="s">
        <v>75</v>
      </c>
      <c r="F37">
        <v>3</v>
      </c>
      <c r="G37">
        <v>24</v>
      </c>
      <c r="H37">
        <v>72</v>
      </c>
      <c r="I37" t="s">
        <v>80</v>
      </c>
      <c r="J37" t="s">
        <v>87</v>
      </c>
      <c r="K37" s="2" t="str">
        <f t="shared" ca="1" si="2"/>
        <v>2026-10-07</v>
      </c>
      <c r="L37">
        <f t="shared" ca="1" si="1"/>
        <v>1</v>
      </c>
    </row>
    <row r="38" spans="1:12" x14ac:dyDescent="0.25">
      <c r="A38">
        <v>1037</v>
      </c>
      <c r="B38" t="s">
        <v>26</v>
      </c>
      <c r="C38" t="s">
        <v>64</v>
      </c>
      <c r="D38" t="s">
        <v>73</v>
      </c>
      <c r="E38" t="s">
        <v>75</v>
      </c>
      <c r="F38">
        <v>4</v>
      </c>
      <c r="G38">
        <v>18</v>
      </c>
      <c r="H38">
        <v>72</v>
      </c>
      <c r="I38" t="s">
        <v>80</v>
      </c>
      <c r="J38" t="s">
        <v>87</v>
      </c>
      <c r="K38" s="2" t="str">
        <f t="shared" ca="1" si="2"/>
        <v>2026-10-07</v>
      </c>
      <c r="L38">
        <f t="shared" ca="1" si="1"/>
        <v>1</v>
      </c>
    </row>
    <row r="39" spans="1:12" x14ac:dyDescent="0.25">
      <c r="A39">
        <v>1038</v>
      </c>
      <c r="B39" t="s">
        <v>40</v>
      </c>
      <c r="C39" t="s">
        <v>65</v>
      </c>
      <c r="D39" t="s">
        <v>74</v>
      </c>
      <c r="E39" t="s">
        <v>75</v>
      </c>
      <c r="F39">
        <v>3</v>
      </c>
      <c r="G39">
        <v>49</v>
      </c>
      <c r="H39">
        <v>147</v>
      </c>
      <c r="I39" t="s">
        <v>78</v>
      </c>
      <c r="J39" t="s">
        <v>87</v>
      </c>
      <c r="K39" s="2" t="str">
        <f t="shared" ca="1" si="2"/>
        <v>2026-10-07</v>
      </c>
      <c r="L39">
        <f t="shared" ca="1" si="1"/>
        <v>1</v>
      </c>
    </row>
    <row r="40" spans="1:12" x14ac:dyDescent="0.25">
      <c r="A40">
        <v>1039</v>
      </c>
      <c r="B40" t="s">
        <v>15</v>
      </c>
      <c r="C40" t="s">
        <v>66</v>
      </c>
      <c r="D40" t="s">
        <v>70</v>
      </c>
      <c r="E40" t="s">
        <v>75</v>
      </c>
      <c r="F40">
        <v>4</v>
      </c>
      <c r="G40">
        <v>23</v>
      </c>
      <c r="H40">
        <v>92</v>
      </c>
      <c r="I40" t="s">
        <v>77</v>
      </c>
      <c r="J40" t="s">
        <v>87</v>
      </c>
      <c r="K40" s="2" t="str">
        <f t="shared" ca="1" si="2"/>
        <v>2026-10-07</v>
      </c>
      <c r="L40">
        <f t="shared" ca="1" si="1"/>
        <v>1</v>
      </c>
    </row>
    <row r="41" spans="1:12" x14ac:dyDescent="0.25">
      <c r="A41">
        <v>1040</v>
      </c>
      <c r="B41" t="s">
        <v>35</v>
      </c>
      <c r="C41" t="s">
        <v>66</v>
      </c>
      <c r="D41" t="s">
        <v>73</v>
      </c>
      <c r="E41" t="s">
        <v>75</v>
      </c>
      <c r="F41">
        <v>1</v>
      </c>
      <c r="G41">
        <v>14</v>
      </c>
      <c r="H41">
        <v>14</v>
      </c>
      <c r="I41" t="s">
        <v>79</v>
      </c>
      <c r="J41" t="s">
        <v>87</v>
      </c>
      <c r="K41" s="2" t="str">
        <f t="shared" ca="1" si="2"/>
        <v>2026-10-07</v>
      </c>
      <c r="L41">
        <f t="shared" ca="1" si="1"/>
        <v>1</v>
      </c>
    </row>
    <row r="42" spans="1:12" x14ac:dyDescent="0.25">
      <c r="A42">
        <v>1041</v>
      </c>
      <c r="B42" t="s">
        <v>41</v>
      </c>
      <c r="C42" t="s">
        <v>59</v>
      </c>
      <c r="D42" t="s">
        <v>74</v>
      </c>
      <c r="E42" t="s">
        <v>75</v>
      </c>
      <c r="F42">
        <v>3</v>
      </c>
      <c r="G42">
        <v>47</v>
      </c>
      <c r="H42">
        <v>141</v>
      </c>
      <c r="I42" t="s">
        <v>79</v>
      </c>
      <c r="J42" t="s">
        <v>87</v>
      </c>
      <c r="K42" s="2" t="str">
        <f t="shared" ca="1" si="2"/>
        <v>2026-10-07</v>
      </c>
      <c r="L42">
        <f t="shared" ca="1" si="1"/>
        <v>1</v>
      </c>
    </row>
    <row r="43" spans="1:12" x14ac:dyDescent="0.25">
      <c r="A43">
        <v>1042</v>
      </c>
      <c r="B43" t="s">
        <v>42</v>
      </c>
      <c r="C43" t="s">
        <v>62</v>
      </c>
      <c r="D43" t="s">
        <v>74</v>
      </c>
      <c r="E43" t="s">
        <v>75</v>
      </c>
      <c r="F43">
        <v>5</v>
      </c>
      <c r="G43">
        <v>31</v>
      </c>
      <c r="H43">
        <v>155</v>
      </c>
      <c r="I43" t="s">
        <v>77</v>
      </c>
      <c r="J43" t="s">
        <v>87</v>
      </c>
      <c r="K43" s="2" t="str">
        <f t="shared" ca="1" si="2"/>
        <v>2026-10-07</v>
      </c>
      <c r="L43">
        <f t="shared" ca="1" si="1"/>
        <v>1</v>
      </c>
    </row>
    <row r="44" spans="1:12" x14ac:dyDescent="0.25">
      <c r="A44">
        <v>1043</v>
      </c>
      <c r="B44" t="s">
        <v>43</v>
      </c>
      <c r="C44" t="s">
        <v>63</v>
      </c>
      <c r="D44" t="s">
        <v>71</v>
      </c>
      <c r="E44" t="s">
        <v>76</v>
      </c>
      <c r="F44">
        <v>4</v>
      </c>
      <c r="G44">
        <v>654</v>
      </c>
      <c r="H44">
        <v>2616</v>
      </c>
      <c r="I44" t="s">
        <v>78</v>
      </c>
      <c r="J44" t="s">
        <v>87</v>
      </c>
      <c r="K44" s="2" t="str">
        <f t="shared" ca="1" si="2"/>
        <v>2026-10-07</v>
      </c>
      <c r="L44">
        <f t="shared" ca="1" si="1"/>
        <v>1</v>
      </c>
    </row>
    <row r="45" spans="1:12" x14ac:dyDescent="0.25">
      <c r="A45">
        <v>1044</v>
      </c>
      <c r="B45" t="s">
        <v>44</v>
      </c>
      <c r="C45" t="s">
        <v>60</v>
      </c>
      <c r="D45" t="s">
        <v>74</v>
      </c>
      <c r="E45" t="s">
        <v>75</v>
      </c>
      <c r="F45">
        <v>4</v>
      </c>
      <c r="G45">
        <v>28</v>
      </c>
      <c r="H45">
        <v>112</v>
      </c>
      <c r="I45" t="s">
        <v>79</v>
      </c>
      <c r="J45" t="s">
        <v>87</v>
      </c>
      <c r="K45" s="2" t="str">
        <f t="shared" ca="1" si="2"/>
        <v>2026-10-07</v>
      </c>
      <c r="L45">
        <f t="shared" ca="1" si="1"/>
        <v>1</v>
      </c>
    </row>
    <row r="46" spans="1:12" x14ac:dyDescent="0.25">
      <c r="A46">
        <v>1045</v>
      </c>
      <c r="B46" t="s">
        <v>9</v>
      </c>
      <c r="C46" t="s">
        <v>59</v>
      </c>
      <c r="D46" t="s">
        <v>74</v>
      </c>
      <c r="E46" t="s">
        <v>75</v>
      </c>
      <c r="F46">
        <v>4</v>
      </c>
      <c r="G46">
        <v>50</v>
      </c>
      <c r="H46">
        <v>200</v>
      </c>
      <c r="I46" t="s">
        <v>78</v>
      </c>
      <c r="J46" t="s">
        <v>87</v>
      </c>
      <c r="K46" s="2" t="str">
        <f t="shared" ca="1" si="2"/>
        <v>2026-10-07</v>
      </c>
      <c r="L46">
        <f t="shared" ca="1" si="1"/>
        <v>1</v>
      </c>
    </row>
    <row r="47" spans="1:12" x14ac:dyDescent="0.25">
      <c r="A47">
        <v>1046</v>
      </c>
      <c r="B47" t="s">
        <v>45</v>
      </c>
      <c r="C47" t="s">
        <v>62</v>
      </c>
      <c r="D47" t="s">
        <v>73</v>
      </c>
      <c r="E47" t="s">
        <v>75</v>
      </c>
      <c r="F47">
        <v>4</v>
      </c>
      <c r="G47">
        <v>18</v>
      </c>
      <c r="H47">
        <v>72</v>
      </c>
      <c r="I47" t="s">
        <v>77</v>
      </c>
      <c r="J47" t="s">
        <v>87</v>
      </c>
      <c r="K47" s="2" t="str">
        <f t="shared" ca="1" si="2"/>
        <v>2026-10-07</v>
      </c>
      <c r="L47">
        <f t="shared" ca="1" si="1"/>
        <v>1</v>
      </c>
    </row>
    <row r="48" spans="1:12" x14ac:dyDescent="0.25">
      <c r="A48">
        <v>1047</v>
      </c>
      <c r="B48" t="s">
        <v>9</v>
      </c>
      <c r="C48" t="s">
        <v>61</v>
      </c>
      <c r="D48" t="s">
        <v>69</v>
      </c>
      <c r="E48" t="s">
        <v>76</v>
      </c>
      <c r="F48">
        <v>5</v>
      </c>
      <c r="G48">
        <v>248</v>
      </c>
      <c r="H48">
        <v>1240</v>
      </c>
      <c r="I48" t="s">
        <v>78</v>
      </c>
      <c r="J48" t="s">
        <v>87</v>
      </c>
      <c r="K48" s="2" t="str">
        <f t="shared" ca="1" si="2"/>
        <v>2026-10-07</v>
      </c>
      <c r="L48">
        <f t="shared" ca="1" si="1"/>
        <v>1</v>
      </c>
    </row>
    <row r="49" spans="1:12" x14ac:dyDescent="0.25">
      <c r="A49">
        <v>1048</v>
      </c>
      <c r="B49" t="s">
        <v>21</v>
      </c>
      <c r="C49" t="s">
        <v>62</v>
      </c>
      <c r="D49" t="s">
        <v>74</v>
      </c>
      <c r="E49" t="s">
        <v>75</v>
      </c>
      <c r="F49">
        <v>1</v>
      </c>
      <c r="G49">
        <v>29</v>
      </c>
      <c r="H49">
        <v>29</v>
      </c>
      <c r="I49" t="s">
        <v>79</v>
      </c>
      <c r="J49" t="s">
        <v>87</v>
      </c>
      <c r="K49" s="2" t="str">
        <f t="shared" ca="1" si="2"/>
        <v>2026-10-07</v>
      </c>
      <c r="L49">
        <f t="shared" ca="1" si="1"/>
        <v>1</v>
      </c>
    </row>
    <row r="50" spans="1:12" x14ac:dyDescent="0.25">
      <c r="A50">
        <v>1049</v>
      </c>
      <c r="B50" t="s">
        <v>39</v>
      </c>
      <c r="C50" t="s">
        <v>60</v>
      </c>
      <c r="D50" t="s">
        <v>72</v>
      </c>
      <c r="E50" t="s">
        <v>76</v>
      </c>
      <c r="F50">
        <v>3</v>
      </c>
      <c r="G50">
        <v>299</v>
      </c>
      <c r="H50">
        <v>897</v>
      </c>
      <c r="I50" t="s">
        <v>79</v>
      </c>
      <c r="J50" t="s">
        <v>87</v>
      </c>
      <c r="K50" s="2" t="str">
        <f t="shared" ca="1" si="2"/>
        <v>2026-10-07</v>
      </c>
      <c r="L50">
        <f t="shared" ca="1" si="1"/>
        <v>1</v>
      </c>
    </row>
    <row r="51" spans="1:12" x14ac:dyDescent="0.25">
      <c r="A51">
        <v>1050</v>
      </c>
      <c r="B51" t="s">
        <v>46</v>
      </c>
      <c r="C51" t="s">
        <v>64</v>
      </c>
      <c r="D51" t="s">
        <v>74</v>
      </c>
      <c r="E51" t="s">
        <v>75</v>
      </c>
      <c r="F51">
        <v>5</v>
      </c>
      <c r="G51">
        <v>29</v>
      </c>
      <c r="H51">
        <v>145</v>
      </c>
      <c r="I51" t="s">
        <v>78</v>
      </c>
      <c r="J51" t="s">
        <v>87</v>
      </c>
      <c r="K51" s="2" t="str">
        <f t="shared" ca="1" si="2"/>
        <v>2026-10-07</v>
      </c>
      <c r="L51">
        <f t="shared" ca="1" si="1"/>
        <v>1</v>
      </c>
    </row>
    <row r="52" spans="1:12" x14ac:dyDescent="0.25">
      <c r="A52">
        <v>1051</v>
      </c>
      <c r="B52" t="s">
        <v>13</v>
      </c>
      <c r="C52" t="s">
        <v>61</v>
      </c>
      <c r="D52" t="s">
        <v>72</v>
      </c>
      <c r="E52" t="s">
        <v>76</v>
      </c>
      <c r="F52">
        <v>1</v>
      </c>
      <c r="G52">
        <v>347</v>
      </c>
      <c r="H52">
        <v>347</v>
      </c>
      <c r="I52" t="s">
        <v>77</v>
      </c>
      <c r="J52" t="s">
        <v>87</v>
      </c>
      <c r="K52" s="2" t="str">
        <f t="shared" ca="1" si="2"/>
        <v>2026-10-07</v>
      </c>
      <c r="L52">
        <f t="shared" ca="1" si="1"/>
        <v>1</v>
      </c>
    </row>
    <row r="53" spans="1:12" x14ac:dyDescent="0.25">
      <c r="A53">
        <v>1052</v>
      </c>
      <c r="B53" t="s">
        <v>28</v>
      </c>
      <c r="C53" t="s">
        <v>64</v>
      </c>
      <c r="D53" t="s">
        <v>72</v>
      </c>
      <c r="E53" t="s">
        <v>76</v>
      </c>
      <c r="F53">
        <v>5</v>
      </c>
      <c r="G53">
        <v>349</v>
      </c>
      <c r="H53">
        <v>1745</v>
      </c>
      <c r="I53" t="s">
        <v>78</v>
      </c>
      <c r="J53" t="s">
        <v>87</v>
      </c>
      <c r="K53" s="2" t="str">
        <f t="shared" ca="1" si="2"/>
        <v>2026-10-07</v>
      </c>
      <c r="L53">
        <f t="shared" ca="1" si="1"/>
        <v>1</v>
      </c>
    </row>
    <row r="54" spans="1:12" x14ac:dyDescent="0.25">
      <c r="A54">
        <v>1053</v>
      </c>
      <c r="B54" t="s">
        <v>20</v>
      </c>
      <c r="C54" t="s">
        <v>62</v>
      </c>
      <c r="D54" t="s">
        <v>68</v>
      </c>
      <c r="E54" t="s">
        <v>76</v>
      </c>
      <c r="F54">
        <v>4</v>
      </c>
      <c r="G54">
        <v>406</v>
      </c>
      <c r="H54">
        <v>1624</v>
      </c>
      <c r="I54" t="s">
        <v>78</v>
      </c>
      <c r="J54" t="s">
        <v>87</v>
      </c>
      <c r="K54" s="2" t="str">
        <f t="shared" ca="1" si="2"/>
        <v>2026-10-07</v>
      </c>
      <c r="L54">
        <f t="shared" ca="1" si="1"/>
        <v>1</v>
      </c>
    </row>
    <row r="55" spans="1:12" x14ac:dyDescent="0.25">
      <c r="A55">
        <v>1054</v>
      </c>
      <c r="B55" t="s">
        <v>17</v>
      </c>
      <c r="C55" t="s">
        <v>64</v>
      </c>
      <c r="D55" t="s">
        <v>67</v>
      </c>
      <c r="E55" t="s">
        <v>75</v>
      </c>
      <c r="F55">
        <v>5</v>
      </c>
      <c r="G55">
        <v>42</v>
      </c>
      <c r="H55">
        <v>210</v>
      </c>
      <c r="I55" t="s">
        <v>77</v>
      </c>
      <c r="J55" t="s">
        <v>87</v>
      </c>
      <c r="K55" s="2" t="str">
        <f t="shared" ca="1" si="2"/>
        <v>2026-10-07</v>
      </c>
      <c r="L55">
        <f t="shared" ca="1" si="1"/>
        <v>1</v>
      </c>
    </row>
    <row r="56" spans="1:12" x14ac:dyDescent="0.25">
      <c r="A56">
        <v>1055</v>
      </c>
      <c r="B56" t="s">
        <v>9</v>
      </c>
      <c r="C56" t="s">
        <v>60</v>
      </c>
      <c r="D56" t="s">
        <v>72</v>
      </c>
      <c r="E56" t="s">
        <v>76</v>
      </c>
      <c r="F56">
        <v>4</v>
      </c>
      <c r="G56">
        <v>346</v>
      </c>
      <c r="H56">
        <v>1384</v>
      </c>
      <c r="I56" t="s">
        <v>78</v>
      </c>
      <c r="J56" t="s">
        <v>87</v>
      </c>
      <c r="K56" s="2" t="str">
        <f t="shared" ca="1" si="2"/>
        <v>2026-10-07</v>
      </c>
      <c r="L56">
        <f t="shared" ca="1" si="1"/>
        <v>1</v>
      </c>
    </row>
    <row r="57" spans="1:12" x14ac:dyDescent="0.25">
      <c r="A57">
        <v>1056</v>
      </c>
      <c r="B57" t="s">
        <v>15</v>
      </c>
      <c r="C57" t="s">
        <v>61</v>
      </c>
      <c r="D57" t="s">
        <v>70</v>
      </c>
      <c r="E57" t="s">
        <v>75</v>
      </c>
      <c r="F57">
        <v>1</v>
      </c>
      <c r="G57">
        <v>22</v>
      </c>
      <c r="H57">
        <v>22</v>
      </c>
      <c r="I57" t="s">
        <v>78</v>
      </c>
      <c r="J57" t="s">
        <v>87</v>
      </c>
      <c r="K57" s="2" t="str">
        <f t="shared" ca="1" si="2"/>
        <v>2026-10-07</v>
      </c>
      <c r="L57">
        <f t="shared" ca="1" si="1"/>
        <v>1</v>
      </c>
    </row>
    <row r="58" spans="1:12" x14ac:dyDescent="0.25">
      <c r="A58">
        <v>1057</v>
      </c>
      <c r="B58" t="s">
        <v>46</v>
      </c>
      <c r="C58" t="s">
        <v>63</v>
      </c>
      <c r="D58" t="s">
        <v>74</v>
      </c>
      <c r="E58" t="s">
        <v>75</v>
      </c>
      <c r="F58">
        <v>2</v>
      </c>
      <c r="G58">
        <v>33</v>
      </c>
      <c r="H58">
        <v>66</v>
      </c>
      <c r="I58" t="s">
        <v>80</v>
      </c>
      <c r="J58" t="s">
        <v>87</v>
      </c>
      <c r="K58" s="2" t="str">
        <f t="shared" ca="1" si="2"/>
        <v>2026-10-07</v>
      </c>
      <c r="L58">
        <f t="shared" ca="1" si="1"/>
        <v>1</v>
      </c>
    </row>
    <row r="59" spans="1:12" x14ac:dyDescent="0.25">
      <c r="A59">
        <v>1058</v>
      </c>
      <c r="B59" t="s">
        <v>35</v>
      </c>
      <c r="C59" t="s">
        <v>62</v>
      </c>
      <c r="D59" t="s">
        <v>69</v>
      </c>
      <c r="E59" t="s">
        <v>76</v>
      </c>
      <c r="F59">
        <v>1</v>
      </c>
      <c r="G59">
        <v>223</v>
      </c>
      <c r="H59">
        <v>223</v>
      </c>
      <c r="I59" t="s">
        <v>79</v>
      </c>
      <c r="J59" t="s">
        <v>87</v>
      </c>
      <c r="K59" s="2" t="str">
        <f t="shared" ca="1" si="2"/>
        <v>2026-10-07</v>
      </c>
      <c r="L59">
        <f t="shared" ca="1" si="1"/>
        <v>1</v>
      </c>
    </row>
    <row r="60" spans="1:12" x14ac:dyDescent="0.25">
      <c r="A60">
        <v>1059</v>
      </c>
      <c r="B60" t="s">
        <v>15</v>
      </c>
      <c r="C60" t="s">
        <v>62</v>
      </c>
      <c r="D60" t="s">
        <v>70</v>
      </c>
      <c r="E60" t="s">
        <v>75</v>
      </c>
      <c r="F60">
        <v>4</v>
      </c>
      <c r="G60">
        <v>20</v>
      </c>
      <c r="H60">
        <v>80</v>
      </c>
      <c r="I60" t="s">
        <v>77</v>
      </c>
      <c r="J60" t="s">
        <v>87</v>
      </c>
      <c r="K60" s="2" t="str">
        <f t="shared" ca="1" si="2"/>
        <v>2026-10-07</v>
      </c>
      <c r="L60">
        <f t="shared" ca="1" si="1"/>
        <v>1</v>
      </c>
    </row>
    <row r="61" spans="1:12" x14ac:dyDescent="0.25">
      <c r="A61">
        <v>1060</v>
      </c>
      <c r="B61" t="s">
        <v>47</v>
      </c>
      <c r="C61" t="s">
        <v>63</v>
      </c>
      <c r="D61" t="s">
        <v>72</v>
      </c>
      <c r="E61" t="s">
        <v>76</v>
      </c>
      <c r="F61">
        <v>1</v>
      </c>
      <c r="G61">
        <v>328</v>
      </c>
      <c r="H61">
        <v>328</v>
      </c>
      <c r="I61" t="s">
        <v>78</v>
      </c>
      <c r="J61" t="s">
        <v>87</v>
      </c>
      <c r="K61" s="2" t="str">
        <f t="shared" ca="1" si="2"/>
        <v>2026-10-07</v>
      </c>
      <c r="L61">
        <f t="shared" ca="1" si="1"/>
        <v>1</v>
      </c>
    </row>
    <row r="62" spans="1:12" x14ac:dyDescent="0.25">
      <c r="A62">
        <v>1061</v>
      </c>
      <c r="B62" t="s">
        <v>36</v>
      </c>
      <c r="C62" t="s">
        <v>63</v>
      </c>
      <c r="D62" t="s">
        <v>70</v>
      </c>
      <c r="E62" t="s">
        <v>75</v>
      </c>
      <c r="F62">
        <v>4</v>
      </c>
      <c r="G62">
        <v>25</v>
      </c>
      <c r="H62">
        <v>100</v>
      </c>
      <c r="I62" t="s">
        <v>78</v>
      </c>
      <c r="J62" t="s">
        <v>87</v>
      </c>
      <c r="K62" s="2" t="str">
        <f t="shared" ca="1" si="2"/>
        <v>2026-10-07</v>
      </c>
      <c r="L62">
        <f t="shared" ca="1" si="1"/>
        <v>1</v>
      </c>
    </row>
    <row r="63" spans="1:12" x14ac:dyDescent="0.25">
      <c r="A63">
        <v>1062</v>
      </c>
      <c r="B63" t="s">
        <v>14</v>
      </c>
      <c r="C63" t="s">
        <v>65</v>
      </c>
      <c r="D63" t="s">
        <v>67</v>
      </c>
      <c r="E63" t="s">
        <v>75</v>
      </c>
      <c r="F63">
        <v>1</v>
      </c>
      <c r="G63">
        <v>49</v>
      </c>
      <c r="H63">
        <v>49</v>
      </c>
      <c r="I63" t="s">
        <v>78</v>
      </c>
      <c r="J63" t="s">
        <v>87</v>
      </c>
      <c r="K63" s="2" t="str">
        <f t="shared" ca="1" si="2"/>
        <v>2026-10-07</v>
      </c>
      <c r="L63">
        <f t="shared" ca="1" si="1"/>
        <v>1</v>
      </c>
    </row>
    <row r="64" spans="1:12" x14ac:dyDescent="0.25">
      <c r="A64">
        <v>1063</v>
      </c>
      <c r="B64" t="s">
        <v>48</v>
      </c>
      <c r="C64" t="s">
        <v>66</v>
      </c>
      <c r="D64" t="s">
        <v>72</v>
      </c>
      <c r="E64" t="s">
        <v>76</v>
      </c>
      <c r="F64">
        <v>3</v>
      </c>
      <c r="G64">
        <v>321</v>
      </c>
      <c r="H64">
        <v>963</v>
      </c>
      <c r="I64" t="s">
        <v>77</v>
      </c>
      <c r="J64" t="s">
        <v>87</v>
      </c>
      <c r="K64" s="2" t="str">
        <f t="shared" ca="1" si="2"/>
        <v>2026-10-07</v>
      </c>
      <c r="L64">
        <f t="shared" ca="1" si="1"/>
        <v>1</v>
      </c>
    </row>
    <row r="65" spans="1:12" x14ac:dyDescent="0.25">
      <c r="A65">
        <v>1064</v>
      </c>
      <c r="B65" t="s">
        <v>26</v>
      </c>
      <c r="C65" t="s">
        <v>59</v>
      </c>
      <c r="D65" t="s">
        <v>74</v>
      </c>
      <c r="E65" t="s">
        <v>75</v>
      </c>
      <c r="F65">
        <v>2</v>
      </c>
      <c r="G65">
        <v>27</v>
      </c>
      <c r="H65">
        <v>54</v>
      </c>
      <c r="I65" t="s">
        <v>78</v>
      </c>
      <c r="J65" t="s">
        <v>87</v>
      </c>
      <c r="K65" s="2" t="str">
        <f t="shared" ca="1" si="2"/>
        <v>2026-10-07</v>
      </c>
      <c r="L65">
        <f t="shared" ca="1" si="1"/>
        <v>1</v>
      </c>
    </row>
    <row r="66" spans="1:12" x14ac:dyDescent="0.25">
      <c r="A66">
        <v>1065</v>
      </c>
      <c r="B66" t="s">
        <v>19</v>
      </c>
      <c r="C66" t="s">
        <v>64</v>
      </c>
      <c r="D66" t="s">
        <v>68</v>
      </c>
      <c r="E66" t="s">
        <v>76</v>
      </c>
      <c r="F66">
        <v>2</v>
      </c>
      <c r="G66">
        <v>404</v>
      </c>
      <c r="H66">
        <v>808</v>
      </c>
      <c r="I66" t="s">
        <v>78</v>
      </c>
      <c r="J66" t="s">
        <v>87</v>
      </c>
      <c r="K66" s="2" t="str">
        <f t="shared" ref="K66:K101" ca="1" si="3">TEXT(TODAY(),"yyyy-mm-dd")</f>
        <v>2026-10-07</v>
      </c>
      <c r="L66">
        <f t="shared" ca="1" si="1"/>
        <v>1</v>
      </c>
    </row>
    <row r="67" spans="1:12" x14ac:dyDescent="0.25">
      <c r="A67">
        <v>1066</v>
      </c>
      <c r="B67" t="s">
        <v>12</v>
      </c>
      <c r="C67" t="s">
        <v>63</v>
      </c>
      <c r="D67" t="s">
        <v>71</v>
      </c>
      <c r="E67" t="s">
        <v>76</v>
      </c>
      <c r="F67">
        <v>5</v>
      </c>
      <c r="G67">
        <v>689</v>
      </c>
      <c r="H67">
        <v>3445</v>
      </c>
      <c r="I67" t="s">
        <v>78</v>
      </c>
      <c r="J67" t="s">
        <v>87</v>
      </c>
      <c r="K67" s="2" t="str">
        <f t="shared" ca="1" si="3"/>
        <v>2026-10-07</v>
      </c>
      <c r="L67">
        <f t="shared" ref="L67:L101" ca="1" si="4">DATEDIF(B67,K67,"y")</f>
        <v>1</v>
      </c>
    </row>
    <row r="68" spans="1:12" x14ac:dyDescent="0.25">
      <c r="A68">
        <v>1067</v>
      </c>
      <c r="B68" t="s">
        <v>46</v>
      </c>
      <c r="C68" t="s">
        <v>64</v>
      </c>
      <c r="D68" t="s">
        <v>72</v>
      </c>
      <c r="E68" t="s">
        <v>76</v>
      </c>
      <c r="F68">
        <v>3</v>
      </c>
      <c r="G68">
        <v>349</v>
      </c>
      <c r="H68">
        <v>1047</v>
      </c>
      <c r="I68" t="s">
        <v>78</v>
      </c>
      <c r="J68" t="s">
        <v>87</v>
      </c>
      <c r="K68" s="2" t="str">
        <f t="shared" ca="1" si="3"/>
        <v>2026-10-07</v>
      </c>
      <c r="L68">
        <f t="shared" ca="1" si="4"/>
        <v>1</v>
      </c>
    </row>
    <row r="69" spans="1:12" x14ac:dyDescent="0.25">
      <c r="A69">
        <v>1068</v>
      </c>
      <c r="B69" t="s">
        <v>39</v>
      </c>
      <c r="C69" t="s">
        <v>63</v>
      </c>
      <c r="D69" t="s">
        <v>71</v>
      </c>
      <c r="E69" t="s">
        <v>76</v>
      </c>
      <c r="F69">
        <v>3</v>
      </c>
      <c r="G69">
        <v>690</v>
      </c>
      <c r="H69">
        <v>2070</v>
      </c>
      <c r="I69" t="s">
        <v>80</v>
      </c>
      <c r="J69" t="s">
        <v>87</v>
      </c>
      <c r="K69" s="2" t="str">
        <f t="shared" ca="1" si="3"/>
        <v>2026-10-07</v>
      </c>
      <c r="L69">
        <f t="shared" ca="1" si="4"/>
        <v>1</v>
      </c>
    </row>
    <row r="70" spans="1:12" x14ac:dyDescent="0.25">
      <c r="A70">
        <v>1069</v>
      </c>
      <c r="B70" t="s">
        <v>32</v>
      </c>
      <c r="C70" t="s">
        <v>61</v>
      </c>
      <c r="D70" t="s">
        <v>74</v>
      </c>
      <c r="E70" t="s">
        <v>75</v>
      </c>
      <c r="F70">
        <v>3</v>
      </c>
      <c r="G70">
        <v>37</v>
      </c>
      <c r="H70">
        <v>111</v>
      </c>
      <c r="I70" t="s">
        <v>80</v>
      </c>
      <c r="J70" t="s">
        <v>87</v>
      </c>
      <c r="K70" s="2" t="str">
        <f t="shared" ca="1" si="3"/>
        <v>2026-10-07</v>
      </c>
      <c r="L70">
        <f t="shared" ca="1" si="4"/>
        <v>1</v>
      </c>
    </row>
    <row r="71" spans="1:12" x14ac:dyDescent="0.25">
      <c r="A71">
        <v>1070</v>
      </c>
      <c r="B71" t="s">
        <v>29</v>
      </c>
      <c r="C71" t="s">
        <v>63</v>
      </c>
      <c r="D71" t="s">
        <v>72</v>
      </c>
      <c r="E71" t="s">
        <v>76</v>
      </c>
      <c r="F71">
        <v>2</v>
      </c>
      <c r="G71">
        <v>336</v>
      </c>
      <c r="H71">
        <v>672</v>
      </c>
      <c r="I71" t="s">
        <v>77</v>
      </c>
      <c r="J71" t="s">
        <v>87</v>
      </c>
      <c r="K71" s="2" t="str">
        <f t="shared" ca="1" si="3"/>
        <v>2026-10-07</v>
      </c>
      <c r="L71">
        <f t="shared" ca="1" si="4"/>
        <v>1</v>
      </c>
    </row>
    <row r="72" spans="1:12" x14ac:dyDescent="0.25">
      <c r="A72">
        <v>1071</v>
      </c>
      <c r="B72" t="s">
        <v>49</v>
      </c>
      <c r="C72" t="s">
        <v>63</v>
      </c>
      <c r="D72" t="s">
        <v>68</v>
      </c>
      <c r="E72" t="s">
        <v>76</v>
      </c>
      <c r="F72">
        <v>2</v>
      </c>
      <c r="G72">
        <v>425</v>
      </c>
      <c r="H72">
        <v>850</v>
      </c>
      <c r="I72" t="s">
        <v>80</v>
      </c>
      <c r="J72" t="s">
        <v>87</v>
      </c>
      <c r="K72" s="2" t="str">
        <f t="shared" ca="1" si="3"/>
        <v>2026-10-07</v>
      </c>
      <c r="L72">
        <f t="shared" ca="1" si="4"/>
        <v>1</v>
      </c>
    </row>
    <row r="73" spans="1:12" x14ac:dyDescent="0.25">
      <c r="A73">
        <v>1072</v>
      </c>
      <c r="B73" t="s">
        <v>16</v>
      </c>
      <c r="C73" t="s">
        <v>60</v>
      </c>
      <c r="D73" t="s">
        <v>74</v>
      </c>
      <c r="E73" t="s">
        <v>75</v>
      </c>
      <c r="F73">
        <v>3</v>
      </c>
      <c r="G73">
        <v>45</v>
      </c>
      <c r="H73">
        <v>135</v>
      </c>
      <c r="I73" t="s">
        <v>78</v>
      </c>
      <c r="J73" t="s">
        <v>87</v>
      </c>
      <c r="K73" s="2" t="str">
        <f t="shared" ca="1" si="3"/>
        <v>2026-10-07</v>
      </c>
      <c r="L73">
        <f t="shared" ca="1" si="4"/>
        <v>1</v>
      </c>
    </row>
    <row r="74" spans="1:12" x14ac:dyDescent="0.25">
      <c r="A74">
        <v>1073</v>
      </c>
      <c r="B74" t="s">
        <v>38</v>
      </c>
      <c r="C74" t="s">
        <v>64</v>
      </c>
      <c r="D74" t="s">
        <v>73</v>
      </c>
      <c r="E74" t="s">
        <v>75</v>
      </c>
      <c r="F74">
        <v>2</v>
      </c>
      <c r="G74">
        <v>16</v>
      </c>
      <c r="H74">
        <v>32</v>
      </c>
      <c r="I74" t="s">
        <v>80</v>
      </c>
      <c r="J74" t="s">
        <v>87</v>
      </c>
      <c r="K74" s="2" t="str">
        <f t="shared" ca="1" si="3"/>
        <v>2026-10-07</v>
      </c>
      <c r="L74">
        <f t="shared" ca="1" si="4"/>
        <v>1</v>
      </c>
    </row>
    <row r="75" spans="1:12" x14ac:dyDescent="0.25">
      <c r="A75">
        <v>1074</v>
      </c>
      <c r="B75" t="s">
        <v>29</v>
      </c>
      <c r="C75" t="s">
        <v>63</v>
      </c>
      <c r="D75" t="s">
        <v>67</v>
      </c>
      <c r="E75" t="s">
        <v>75</v>
      </c>
      <c r="F75">
        <v>2</v>
      </c>
      <c r="G75">
        <v>60</v>
      </c>
      <c r="H75">
        <v>120</v>
      </c>
      <c r="I75" t="s">
        <v>79</v>
      </c>
      <c r="J75" t="s">
        <v>87</v>
      </c>
      <c r="K75" s="2" t="str">
        <f t="shared" ca="1" si="3"/>
        <v>2026-10-07</v>
      </c>
      <c r="L75">
        <f t="shared" ca="1" si="4"/>
        <v>1</v>
      </c>
    </row>
    <row r="76" spans="1:12" x14ac:dyDescent="0.25">
      <c r="A76">
        <v>1075</v>
      </c>
      <c r="B76" t="s">
        <v>50</v>
      </c>
      <c r="C76" t="s">
        <v>64</v>
      </c>
      <c r="D76" t="s">
        <v>73</v>
      </c>
      <c r="E76" t="s">
        <v>75</v>
      </c>
      <c r="F76">
        <v>5</v>
      </c>
      <c r="G76">
        <v>12</v>
      </c>
      <c r="H76">
        <v>60</v>
      </c>
      <c r="I76" t="s">
        <v>77</v>
      </c>
      <c r="J76" t="s">
        <v>87</v>
      </c>
      <c r="K76" s="2" t="str">
        <f t="shared" ca="1" si="3"/>
        <v>2026-10-07</v>
      </c>
      <c r="L76">
        <f t="shared" ca="1" si="4"/>
        <v>1</v>
      </c>
    </row>
    <row r="77" spans="1:12" x14ac:dyDescent="0.25">
      <c r="A77">
        <v>1076</v>
      </c>
      <c r="B77" t="s">
        <v>51</v>
      </c>
      <c r="C77" t="s">
        <v>59</v>
      </c>
      <c r="D77" t="s">
        <v>68</v>
      </c>
      <c r="E77" t="s">
        <v>76</v>
      </c>
      <c r="F77">
        <v>5</v>
      </c>
      <c r="G77">
        <v>387</v>
      </c>
      <c r="H77">
        <v>1935</v>
      </c>
      <c r="I77" t="s">
        <v>79</v>
      </c>
      <c r="J77" t="s">
        <v>87</v>
      </c>
      <c r="K77" s="2" t="str">
        <f t="shared" ca="1" si="3"/>
        <v>2026-10-07</v>
      </c>
      <c r="L77">
        <f t="shared" ca="1" si="4"/>
        <v>1</v>
      </c>
    </row>
    <row r="78" spans="1:12" x14ac:dyDescent="0.25">
      <c r="A78">
        <v>1077</v>
      </c>
      <c r="B78" t="s">
        <v>41</v>
      </c>
      <c r="C78" t="s">
        <v>59</v>
      </c>
      <c r="D78" t="s">
        <v>71</v>
      </c>
      <c r="E78" t="s">
        <v>76</v>
      </c>
      <c r="F78">
        <v>2</v>
      </c>
      <c r="G78">
        <v>651</v>
      </c>
      <c r="H78">
        <v>1302</v>
      </c>
      <c r="I78" t="s">
        <v>78</v>
      </c>
      <c r="J78" t="s">
        <v>87</v>
      </c>
      <c r="K78" s="2" t="str">
        <f t="shared" ca="1" si="3"/>
        <v>2026-10-07</v>
      </c>
      <c r="L78">
        <f t="shared" ca="1" si="4"/>
        <v>1</v>
      </c>
    </row>
    <row r="79" spans="1:12" x14ac:dyDescent="0.25">
      <c r="A79">
        <v>1078</v>
      </c>
      <c r="B79" t="s">
        <v>52</v>
      </c>
      <c r="C79" t="s">
        <v>64</v>
      </c>
      <c r="D79" t="s">
        <v>74</v>
      </c>
      <c r="E79" t="s">
        <v>75</v>
      </c>
      <c r="F79">
        <v>2</v>
      </c>
      <c r="G79">
        <v>47</v>
      </c>
      <c r="H79">
        <v>94</v>
      </c>
      <c r="I79" t="s">
        <v>79</v>
      </c>
      <c r="J79" t="s">
        <v>87</v>
      </c>
      <c r="K79" s="2" t="str">
        <f t="shared" ca="1" si="3"/>
        <v>2026-10-07</v>
      </c>
      <c r="L79">
        <f t="shared" ca="1" si="4"/>
        <v>1</v>
      </c>
    </row>
    <row r="80" spans="1:12" x14ac:dyDescent="0.25">
      <c r="A80">
        <v>1079</v>
      </c>
      <c r="B80" t="s">
        <v>53</v>
      </c>
      <c r="C80" t="s">
        <v>63</v>
      </c>
      <c r="D80" t="s">
        <v>68</v>
      </c>
      <c r="E80" t="s">
        <v>76</v>
      </c>
      <c r="F80">
        <v>4</v>
      </c>
      <c r="G80">
        <v>441</v>
      </c>
      <c r="H80">
        <v>1764</v>
      </c>
      <c r="I80" t="s">
        <v>77</v>
      </c>
      <c r="J80" t="s">
        <v>87</v>
      </c>
      <c r="K80" s="2" t="str">
        <f t="shared" ca="1" si="3"/>
        <v>2026-10-07</v>
      </c>
      <c r="L80">
        <f t="shared" ca="1" si="4"/>
        <v>1</v>
      </c>
    </row>
    <row r="81" spans="1:12" x14ac:dyDescent="0.25">
      <c r="A81">
        <v>1080</v>
      </c>
      <c r="B81" t="s">
        <v>21</v>
      </c>
      <c r="C81" t="s">
        <v>60</v>
      </c>
      <c r="D81" t="s">
        <v>72</v>
      </c>
      <c r="E81" t="s">
        <v>76</v>
      </c>
      <c r="F81">
        <v>3</v>
      </c>
      <c r="G81">
        <v>313</v>
      </c>
      <c r="H81">
        <v>939</v>
      </c>
      <c r="I81" t="s">
        <v>79</v>
      </c>
      <c r="J81" t="s">
        <v>87</v>
      </c>
      <c r="K81" s="2" t="str">
        <f t="shared" ca="1" si="3"/>
        <v>2026-10-07</v>
      </c>
      <c r="L81">
        <f t="shared" ca="1" si="4"/>
        <v>1</v>
      </c>
    </row>
    <row r="82" spans="1:12" x14ac:dyDescent="0.25">
      <c r="A82">
        <v>1081</v>
      </c>
      <c r="B82" t="s">
        <v>12</v>
      </c>
      <c r="C82" t="s">
        <v>61</v>
      </c>
      <c r="D82" t="s">
        <v>70</v>
      </c>
      <c r="E82" t="s">
        <v>75</v>
      </c>
      <c r="F82">
        <v>3</v>
      </c>
      <c r="G82">
        <v>23</v>
      </c>
      <c r="H82">
        <v>69</v>
      </c>
      <c r="I82" t="s">
        <v>80</v>
      </c>
      <c r="J82" t="s">
        <v>87</v>
      </c>
      <c r="K82" s="2" t="str">
        <f t="shared" ca="1" si="3"/>
        <v>2026-10-07</v>
      </c>
      <c r="L82">
        <f t="shared" ca="1" si="4"/>
        <v>1</v>
      </c>
    </row>
    <row r="83" spans="1:12" x14ac:dyDescent="0.25">
      <c r="A83">
        <v>1082</v>
      </c>
      <c r="B83" t="s">
        <v>54</v>
      </c>
      <c r="C83" t="s">
        <v>65</v>
      </c>
      <c r="D83" t="s">
        <v>67</v>
      </c>
      <c r="E83" t="s">
        <v>75</v>
      </c>
      <c r="F83">
        <v>2</v>
      </c>
      <c r="G83">
        <v>45</v>
      </c>
      <c r="H83">
        <v>90</v>
      </c>
      <c r="I83" t="s">
        <v>77</v>
      </c>
      <c r="J83" t="s">
        <v>87</v>
      </c>
      <c r="K83" s="2" t="str">
        <f t="shared" ca="1" si="3"/>
        <v>2026-10-07</v>
      </c>
      <c r="L83">
        <f t="shared" ca="1" si="4"/>
        <v>1</v>
      </c>
    </row>
    <row r="84" spans="1:12" x14ac:dyDescent="0.25">
      <c r="A84">
        <v>1083</v>
      </c>
      <c r="B84" t="s">
        <v>55</v>
      </c>
      <c r="C84" t="s">
        <v>61</v>
      </c>
      <c r="D84" t="s">
        <v>67</v>
      </c>
      <c r="E84" t="s">
        <v>75</v>
      </c>
      <c r="F84">
        <v>4</v>
      </c>
      <c r="G84">
        <v>52</v>
      </c>
      <c r="H84">
        <v>208</v>
      </c>
      <c r="I84" t="s">
        <v>80</v>
      </c>
      <c r="J84" t="s">
        <v>87</v>
      </c>
      <c r="K84" s="2" t="str">
        <f t="shared" ca="1" si="3"/>
        <v>2026-10-07</v>
      </c>
      <c r="L84">
        <f t="shared" ca="1" si="4"/>
        <v>1</v>
      </c>
    </row>
    <row r="85" spans="1:12" x14ac:dyDescent="0.25">
      <c r="A85">
        <v>1084</v>
      </c>
      <c r="B85" t="s">
        <v>39</v>
      </c>
      <c r="C85" t="s">
        <v>63</v>
      </c>
      <c r="D85" t="s">
        <v>72</v>
      </c>
      <c r="E85" t="s">
        <v>76</v>
      </c>
      <c r="F85">
        <v>1</v>
      </c>
      <c r="G85">
        <v>293</v>
      </c>
      <c r="H85">
        <v>293</v>
      </c>
      <c r="I85" t="s">
        <v>78</v>
      </c>
      <c r="J85" t="s">
        <v>87</v>
      </c>
      <c r="K85" s="2" t="str">
        <f t="shared" ca="1" si="3"/>
        <v>2026-10-07</v>
      </c>
      <c r="L85">
        <f t="shared" ca="1" si="4"/>
        <v>1</v>
      </c>
    </row>
    <row r="86" spans="1:12" x14ac:dyDescent="0.25">
      <c r="A86">
        <v>1085</v>
      </c>
      <c r="B86" t="s">
        <v>56</v>
      </c>
      <c r="C86" t="s">
        <v>66</v>
      </c>
      <c r="D86" t="s">
        <v>68</v>
      </c>
      <c r="E86" t="s">
        <v>76</v>
      </c>
      <c r="F86">
        <v>1</v>
      </c>
      <c r="G86">
        <v>437</v>
      </c>
      <c r="H86">
        <v>437</v>
      </c>
      <c r="I86" t="s">
        <v>77</v>
      </c>
      <c r="J86" t="s">
        <v>87</v>
      </c>
      <c r="K86" s="2" t="str">
        <f t="shared" ca="1" si="3"/>
        <v>2026-10-07</v>
      </c>
      <c r="L86">
        <f t="shared" ca="1" si="4"/>
        <v>1</v>
      </c>
    </row>
    <row r="87" spans="1:12" x14ac:dyDescent="0.25">
      <c r="A87">
        <v>1086</v>
      </c>
      <c r="B87" t="s">
        <v>44</v>
      </c>
      <c r="C87" t="s">
        <v>59</v>
      </c>
      <c r="D87" t="s">
        <v>69</v>
      </c>
      <c r="E87" t="s">
        <v>76</v>
      </c>
      <c r="F87">
        <v>5</v>
      </c>
      <c r="G87">
        <v>245</v>
      </c>
      <c r="H87">
        <v>1225</v>
      </c>
      <c r="I87" t="s">
        <v>79</v>
      </c>
      <c r="J87" t="s">
        <v>87</v>
      </c>
      <c r="K87" s="2" t="str">
        <f t="shared" ca="1" si="3"/>
        <v>2026-10-07</v>
      </c>
      <c r="L87">
        <f t="shared" ca="1" si="4"/>
        <v>1</v>
      </c>
    </row>
    <row r="88" spans="1:12" x14ac:dyDescent="0.25">
      <c r="A88">
        <v>1087</v>
      </c>
      <c r="B88" t="s">
        <v>43</v>
      </c>
      <c r="C88" t="s">
        <v>61</v>
      </c>
      <c r="D88" t="s">
        <v>69</v>
      </c>
      <c r="E88" t="s">
        <v>76</v>
      </c>
      <c r="F88">
        <v>2</v>
      </c>
      <c r="G88">
        <v>248</v>
      </c>
      <c r="H88">
        <v>496</v>
      </c>
      <c r="I88" t="s">
        <v>78</v>
      </c>
      <c r="J88" t="s">
        <v>87</v>
      </c>
      <c r="K88" s="2" t="str">
        <f t="shared" ca="1" si="3"/>
        <v>2026-10-07</v>
      </c>
      <c r="L88">
        <f t="shared" ca="1" si="4"/>
        <v>1</v>
      </c>
    </row>
    <row r="89" spans="1:12" x14ac:dyDescent="0.25">
      <c r="A89">
        <v>1088</v>
      </c>
      <c r="B89" t="s">
        <v>32</v>
      </c>
      <c r="C89" t="s">
        <v>64</v>
      </c>
      <c r="D89" t="s">
        <v>72</v>
      </c>
      <c r="E89" t="s">
        <v>76</v>
      </c>
      <c r="F89">
        <v>3</v>
      </c>
      <c r="G89">
        <v>347</v>
      </c>
      <c r="H89">
        <v>1041</v>
      </c>
      <c r="I89" t="s">
        <v>77</v>
      </c>
      <c r="J89" t="s">
        <v>87</v>
      </c>
      <c r="K89" s="2" t="str">
        <f t="shared" ca="1" si="3"/>
        <v>2026-10-07</v>
      </c>
      <c r="L89">
        <f t="shared" ca="1" si="4"/>
        <v>1</v>
      </c>
    </row>
    <row r="90" spans="1:12" x14ac:dyDescent="0.25">
      <c r="A90">
        <v>1089</v>
      </c>
      <c r="B90" t="s">
        <v>33</v>
      </c>
      <c r="C90" t="s">
        <v>59</v>
      </c>
      <c r="D90" t="s">
        <v>72</v>
      </c>
      <c r="E90" t="s">
        <v>76</v>
      </c>
      <c r="F90">
        <v>5</v>
      </c>
      <c r="G90">
        <v>344</v>
      </c>
      <c r="H90">
        <v>1720</v>
      </c>
      <c r="I90" t="s">
        <v>78</v>
      </c>
      <c r="J90" t="s">
        <v>87</v>
      </c>
      <c r="K90" s="2" t="str">
        <f t="shared" ca="1" si="3"/>
        <v>2026-10-07</v>
      </c>
      <c r="L90">
        <f t="shared" ca="1" si="4"/>
        <v>1</v>
      </c>
    </row>
    <row r="91" spans="1:12" x14ac:dyDescent="0.25">
      <c r="A91">
        <v>1090</v>
      </c>
      <c r="B91" t="s">
        <v>36</v>
      </c>
      <c r="C91" t="s">
        <v>59</v>
      </c>
      <c r="D91" t="s">
        <v>72</v>
      </c>
      <c r="E91" t="s">
        <v>76</v>
      </c>
      <c r="F91">
        <v>2</v>
      </c>
      <c r="G91">
        <v>281</v>
      </c>
      <c r="H91">
        <v>562</v>
      </c>
      <c r="I91" t="s">
        <v>78</v>
      </c>
      <c r="J91" t="s">
        <v>87</v>
      </c>
      <c r="K91" s="2" t="str">
        <f t="shared" ca="1" si="3"/>
        <v>2026-10-07</v>
      </c>
      <c r="L91">
        <f t="shared" ca="1" si="4"/>
        <v>1</v>
      </c>
    </row>
    <row r="92" spans="1:12" x14ac:dyDescent="0.25">
      <c r="A92">
        <v>1091</v>
      </c>
      <c r="B92" t="s">
        <v>57</v>
      </c>
      <c r="C92" t="s">
        <v>65</v>
      </c>
      <c r="D92" t="s">
        <v>71</v>
      </c>
      <c r="E92" t="s">
        <v>76</v>
      </c>
      <c r="F92">
        <v>1</v>
      </c>
      <c r="G92">
        <v>690</v>
      </c>
      <c r="H92">
        <v>690</v>
      </c>
      <c r="I92" t="s">
        <v>78</v>
      </c>
      <c r="J92" t="s">
        <v>87</v>
      </c>
      <c r="K92" s="2" t="str">
        <f t="shared" ca="1" si="3"/>
        <v>2026-10-07</v>
      </c>
      <c r="L92">
        <f t="shared" ca="1" si="4"/>
        <v>1</v>
      </c>
    </row>
    <row r="93" spans="1:12" x14ac:dyDescent="0.25">
      <c r="A93">
        <v>1092</v>
      </c>
      <c r="B93" t="s">
        <v>18</v>
      </c>
      <c r="C93" t="s">
        <v>61</v>
      </c>
      <c r="D93" t="s">
        <v>69</v>
      </c>
      <c r="E93" t="s">
        <v>76</v>
      </c>
      <c r="F93">
        <v>5</v>
      </c>
      <c r="G93">
        <v>277</v>
      </c>
      <c r="H93">
        <v>1385</v>
      </c>
      <c r="I93" t="s">
        <v>79</v>
      </c>
      <c r="J93" t="s">
        <v>87</v>
      </c>
      <c r="K93" s="2" t="str">
        <f t="shared" ca="1" si="3"/>
        <v>2026-10-07</v>
      </c>
      <c r="L93">
        <f t="shared" ca="1" si="4"/>
        <v>1</v>
      </c>
    </row>
    <row r="94" spans="1:12" x14ac:dyDescent="0.25">
      <c r="A94">
        <v>1093</v>
      </c>
      <c r="B94" t="s">
        <v>34</v>
      </c>
      <c r="C94" t="s">
        <v>62</v>
      </c>
      <c r="D94" t="s">
        <v>73</v>
      </c>
      <c r="E94" t="s">
        <v>75</v>
      </c>
      <c r="F94">
        <v>4</v>
      </c>
      <c r="G94">
        <v>16</v>
      </c>
      <c r="H94">
        <v>64</v>
      </c>
      <c r="I94" t="s">
        <v>79</v>
      </c>
      <c r="J94" t="s">
        <v>87</v>
      </c>
      <c r="K94" s="2" t="str">
        <f t="shared" ca="1" si="3"/>
        <v>2026-10-07</v>
      </c>
      <c r="L94">
        <f t="shared" ca="1" si="4"/>
        <v>1</v>
      </c>
    </row>
    <row r="95" spans="1:12" x14ac:dyDescent="0.25">
      <c r="A95">
        <v>1094</v>
      </c>
      <c r="B95" t="s">
        <v>28</v>
      </c>
      <c r="C95" t="s">
        <v>63</v>
      </c>
      <c r="D95" t="s">
        <v>74</v>
      </c>
      <c r="E95" t="s">
        <v>75</v>
      </c>
      <c r="F95">
        <v>2</v>
      </c>
      <c r="G95">
        <v>35</v>
      </c>
      <c r="H95">
        <v>70</v>
      </c>
      <c r="I95" t="s">
        <v>79</v>
      </c>
      <c r="J95" t="s">
        <v>87</v>
      </c>
      <c r="K95" s="2" t="str">
        <f t="shared" ca="1" si="3"/>
        <v>2026-10-07</v>
      </c>
      <c r="L95">
        <f t="shared" ca="1" si="4"/>
        <v>1</v>
      </c>
    </row>
    <row r="96" spans="1:12" x14ac:dyDescent="0.25">
      <c r="A96">
        <v>1095</v>
      </c>
      <c r="B96" t="s">
        <v>27</v>
      </c>
      <c r="C96" t="s">
        <v>65</v>
      </c>
      <c r="D96" t="s">
        <v>67</v>
      </c>
      <c r="E96" t="s">
        <v>75</v>
      </c>
      <c r="F96">
        <v>5</v>
      </c>
      <c r="G96">
        <v>42</v>
      </c>
      <c r="H96">
        <v>210</v>
      </c>
      <c r="I96" t="s">
        <v>80</v>
      </c>
      <c r="J96" t="s">
        <v>87</v>
      </c>
      <c r="K96" s="2" t="str">
        <f t="shared" ca="1" si="3"/>
        <v>2026-10-07</v>
      </c>
      <c r="L96">
        <f t="shared" ca="1" si="4"/>
        <v>1</v>
      </c>
    </row>
    <row r="97" spans="1:12" x14ac:dyDescent="0.25">
      <c r="A97">
        <v>1096</v>
      </c>
      <c r="B97" t="s">
        <v>12</v>
      </c>
      <c r="C97" t="s">
        <v>66</v>
      </c>
      <c r="D97" t="s">
        <v>70</v>
      </c>
      <c r="E97" t="s">
        <v>75</v>
      </c>
      <c r="F97">
        <v>1</v>
      </c>
      <c r="G97">
        <v>15</v>
      </c>
      <c r="H97">
        <v>15</v>
      </c>
      <c r="I97" t="s">
        <v>80</v>
      </c>
      <c r="J97" t="s">
        <v>87</v>
      </c>
      <c r="K97" s="2" t="str">
        <f t="shared" ca="1" si="3"/>
        <v>2026-10-07</v>
      </c>
      <c r="L97">
        <f t="shared" ca="1" si="4"/>
        <v>1</v>
      </c>
    </row>
    <row r="98" spans="1:12" x14ac:dyDescent="0.25">
      <c r="A98">
        <v>1097</v>
      </c>
      <c r="B98" t="s">
        <v>49</v>
      </c>
      <c r="C98" t="s">
        <v>62</v>
      </c>
      <c r="D98" t="s">
        <v>73</v>
      </c>
      <c r="E98" t="s">
        <v>75</v>
      </c>
      <c r="F98">
        <v>2</v>
      </c>
      <c r="G98">
        <v>13</v>
      </c>
      <c r="H98">
        <v>26</v>
      </c>
      <c r="I98" t="s">
        <v>80</v>
      </c>
      <c r="J98" t="s">
        <v>87</v>
      </c>
      <c r="K98" s="2" t="str">
        <f t="shared" ca="1" si="3"/>
        <v>2026-10-07</v>
      </c>
      <c r="L98">
        <f t="shared" ca="1" si="4"/>
        <v>1</v>
      </c>
    </row>
    <row r="99" spans="1:12" x14ac:dyDescent="0.25">
      <c r="A99">
        <v>1098</v>
      </c>
      <c r="B99" t="s">
        <v>22</v>
      </c>
      <c r="C99" t="s">
        <v>59</v>
      </c>
      <c r="D99" t="s">
        <v>67</v>
      </c>
      <c r="E99" t="s">
        <v>75</v>
      </c>
      <c r="F99">
        <v>5</v>
      </c>
      <c r="G99">
        <v>47</v>
      </c>
      <c r="H99">
        <v>235</v>
      </c>
      <c r="I99" t="s">
        <v>79</v>
      </c>
      <c r="J99" t="s">
        <v>87</v>
      </c>
      <c r="K99" s="2" t="str">
        <f t="shared" ca="1" si="3"/>
        <v>2026-10-07</v>
      </c>
      <c r="L99">
        <f t="shared" ca="1" si="4"/>
        <v>1</v>
      </c>
    </row>
    <row r="100" spans="1:12" x14ac:dyDescent="0.25">
      <c r="A100">
        <v>1099</v>
      </c>
      <c r="B100" t="s">
        <v>58</v>
      </c>
      <c r="C100" t="s">
        <v>66</v>
      </c>
      <c r="D100" t="s">
        <v>72</v>
      </c>
      <c r="E100" t="s">
        <v>76</v>
      </c>
      <c r="F100">
        <v>3</v>
      </c>
      <c r="G100">
        <v>334</v>
      </c>
      <c r="H100">
        <v>1002</v>
      </c>
      <c r="I100" t="s">
        <v>78</v>
      </c>
      <c r="J100" t="s">
        <v>87</v>
      </c>
      <c r="K100" s="2" t="str">
        <f t="shared" ca="1" si="3"/>
        <v>2026-10-07</v>
      </c>
      <c r="L100">
        <f t="shared" ca="1" si="4"/>
        <v>1</v>
      </c>
    </row>
    <row r="101" spans="1:12" x14ac:dyDescent="0.25">
      <c r="A101">
        <v>1100</v>
      </c>
      <c r="B101" t="s">
        <v>23</v>
      </c>
      <c r="C101" t="s">
        <v>62</v>
      </c>
      <c r="D101" t="s">
        <v>73</v>
      </c>
      <c r="E101" t="s">
        <v>75</v>
      </c>
      <c r="F101">
        <v>2</v>
      </c>
      <c r="G101">
        <v>17</v>
      </c>
      <c r="H101">
        <v>34</v>
      </c>
      <c r="I101" t="s">
        <v>80</v>
      </c>
      <c r="J101" t="s">
        <v>87</v>
      </c>
      <c r="K101" s="2" t="str">
        <f t="shared" ca="1" si="3"/>
        <v>2026-10-07</v>
      </c>
      <c r="L101">
        <f t="shared" ca="1" si="4"/>
        <v>1</v>
      </c>
    </row>
    <row r="102" spans="1:12" x14ac:dyDescent="0.25">
      <c r="F102">
        <v>323</v>
      </c>
      <c r="G102">
        <v>20114</v>
      </c>
      <c r="H102">
        <v>64920</v>
      </c>
      <c r="J102" s="3"/>
      <c r="K102" s="2"/>
      <c r="L102" s="3"/>
    </row>
    <row r="103" spans="1:12" x14ac:dyDescent="0.25">
      <c r="B103" s="5" t="s">
        <v>64</v>
      </c>
      <c r="C103" s="6">
        <f>COUNTIF(C2:C101,B103)</f>
        <v>12</v>
      </c>
    </row>
    <row r="104" spans="1:12" x14ac:dyDescent="0.25">
      <c r="C104" s="7" t="s">
        <v>74</v>
      </c>
      <c r="D104" s="7">
        <f>SUMIF(D2:D101,C104,F2:F101)</f>
        <v>43</v>
      </c>
    </row>
    <row r="105" spans="1:12" x14ac:dyDescent="0.25">
      <c r="D105" t="s">
        <v>75</v>
      </c>
      <c r="E105">
        <f>SUMIF(E2:E101,D105,F2:F101)</f>
        <v>170</v>
      </c>
    </row>
    <row r="106" spans="1:12" x14ac:dyDescent="0.25">
      <c r="D106" t="s">
        <v>76</v>
      </c>
      <c r="E106">
        <f>COUNTIF(E2:E101,D106)</f>
        <v>47</v>
      </c>
    </row>
  </sheetData>
  <conditionalFormatting sqref="C2:C101">
    <cfRule type="cellIs" dxfId="0" priority="1" operator="equal">
      <formula>"Sarah Lee"</formula>
    </cfRule>
  </conditionalFormatting>
  <dataValidations count="3">
    <dataValidation type="list" allowBlank="1" showInputMessage="1" showErrorMessage="1" sqref="B103" xr:uid="{00000000-0002-0000-0000-000000000000}">
      <formula1>"Ali Bello, Grace Paul, David Kim, John Smith, Sarah Lee, James Brown, Mary Jones, Linda White, "</formula1>
    </dataValidation>
    <dataValidation type="list" allowBlank="1" showInputMessage="1" showErrorMessage="1" sqref="C104" xr:uid="{00000000-0002-0000-0000-000001000000}">
      <formula1>"Keyboard, Charger, Phones, Phone Cases, Monitor, Laptop"</formula1>
    </dataValidation>
    <dataValidation type="list" allowBlank="1" showInputMessage="1" showErrorMessage="1" sqref="D105:D106" xr:uid="{00000000-0002-0000-0000-000002000000}">
      <formula1>"Accessories, Electronics"</formula1>
    </dataValidation>
  </dataValidations>
  <pageMargins left="0.7" right="0.7" top="0.75" bottom="0.75" header="0.3" footer="0.3"/>
  <pageSetup scale="46" orientation="portrait" r:id="rId7"/>
  <drawing r:id="rId8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94B1-F7E2-487B-B79E-04C7EF848291}">
  <dimension ref="V14"/>
  <sheetViews>
    <sheetView topLeftCell="A2" zoomScale="73" zoomScaleNormal="73" workbookViewId="0">
      <selection activeCell="T11" sqref="T11"/>
    </sheetView>
  </sheetViews>
  <sheetFormatPr defaultRowHeight="15" x14ac:dyDescent="0.25"/>
  <sheetData>
    <row r="14" spans="22:22" x14ac:dyDescent="0.25">
      <c r="V14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SM-G998U1</dc:creator>
  <cp:lastModifiedBy>morayoadelerin@gmail.com</cp:lastModifiedBy>
  <cp:lastPrinted>2026-08-31T21:46:48Z</cp:lastPrinted>
  <dcterms:created xsi:type="dcterms:W3CDTF">2025-09-12T11:57:25Z</dcterms:created>
  <dcterms:modified xsi:type="dcterms:W3CDTF">2026-10-07T23:44:23Z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0908760290994b5ba6379821a059e7b9</vt:lpwstr>
  </property>
</Properties>
</file>